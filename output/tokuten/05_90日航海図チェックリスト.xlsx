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進捗" sheetId="2" state="visible" r:id="rId4"/>
    <sheet name="航海図" sheetId="3" state="visible" r:id="rId5"/>
    <sheet name="マイルストーン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<sst xmlns="http://schemas.openxmlformats.org/spreadsheetml/2006/main" count="432" uniqueCount="130">
  <si>
    <r>
      <rPr>
        <b val="true"/>
        <sz val="16"/>
        <color rgb="FF1F3A5F"/>
        <rFont val="Yu Gothic"/>
        <family val="2"/>
      </rPr>
      <t xml:space="preserve">特典⑤ </t>
    </r>
    <r>
      <rPr>
        <b val="true"/>
        <sz val="16"/>
        <color rgb="FF1F3A5F"/>
        <rFont val="Yu Gothic"/>
        <family val="0"/>
        <charset val="1"/>
      </rPr>
      <t xml:space="preserve">90</t>
    </r>
    <r>
      <rPr>
        <b val="true"/>
        <sz val="16"/>
        <color rgb="FF1F3A5F"/>
        <rFont val="Yu Gothic"/>
        <family val="2"/>
      </rPr>
      <t xml:space="preserve">日航海図チェックリスト</t>
    </r>
  </si>
  <si>
    <r>
      <rPr>
        <sz val="10"/>
        <color rgb="FF595959"/>
        <rFont val="Yu Gothic"/>
        <family val="2"/>
      </rPr>
      <t xml:space="preserve">迷ったら、このファイルに戻ってくる。今日やることは</t>
    </r>
    <r>
      <rPr>
        <sz val="10"/>
        <color rgb="FF595959"/>
        <rFont val="Yu Gothic"/>
        <family val="0"/>
        <charset val="1"/>
      </rPr>
      <t xml:space="preserve">1</t>
    </r>
    <r>
      <rPr>
        <sz val="10"/>
        <color rgb="FF595959"/>
        <rFont val="Yu Gothic"/>
        <family val="2"/>
      </rPr>
      <t xml:space="preserve">つだけ。</t>
    </r>
  </si>
  <si>
    <r>
      <rPr>
        <b val="true"/>
        <sz val="12"/>
        <color rgb="FF1F3A5F"/>
        <rFont val="Yu Gothic"/>
        <family val="2"/>
      </rPr>
      <t xml:space="preserve">■ 使い方（最初に</t>
    </r>
    <r>
      <rPr>
        <b val="true"/>
        <sz val="12"/>
        <color rgb="FF1F3A5F"/>
        <rFont val="Yu Gothic"/>
        <family val="0"/>
        <charset val="1"/>
      </rPr>
      <t xml:space="preserve">1</t>
    </r>
    <r>
      <rPr>
        <b val="true"/>
        <sz val="12"/>
        <color rgb="FF1F3A5F"/>
        <rFont val="Yu Gothic"/>
        <family val="2"/>
      </rPr>
      <t xml:space="preserve">回だけ）</t>
    </r>
  </si>
  <si>
    <r>
      <rPr>
        <sz val="10"/>
        <color rgb="FF000000"/>
        <rFont val="Yu Gothic"/>
        <family val="0"/>
        <charset val="1"/>
      </rPr>
      <t xml:space="preserve">1. </t>
    </r>
    <r>
      <rPr>
        <sz val="10"/>
        <color rgb="FF000000"/>
        <rFont val="Yu Gothic"/>
        <family val="2"/>
      </rPr>
      <t xml:space="preserve">「航海図」シートの</t>
    </r>
    <r>
      <rPr>
        <sz val="10"/>
        <color rgb="FF000000"/>
        <rFont val="Yu Gothic"/>
        <family val="0"/>
        <charset val="1"/>
      </rPr>
      <t xml:space="preserve">C3</t>
    </r>
    <r>
      <rPr>
        <sz val="10"/>
        <color rgb="FF000000"/>
        <rFont val="Yu Gothic"/>
        <family val="2"/>
      </rPr>
      <t xml:space="preserve">（黄色）に、あなたの出航日（</t>
    </r>
    <r>
      <rPr>
        <sz val="10"/>
        <color rgb="FF000000"/>
        <rFont val="Yu Gothic"/>
        <family val="0"/>
        <charset val="1"/>
      </rPr>
      <t xml:space="preserve">Day1</t>
    </r>
    <r>
      <rPr>
        <sz val="10"/>
        <color rgb="FF000000"/>
        <rFont val="Yu Gothic"/>
        <family val="2"/>
      </rPr>
      <t xml:space="preserve">にする日）を入れる</t>
    </r>
  </si>
  <si>
    <r>
      <rPr>
        <sz val="10"/>
        <color rgb="FF000000"/>
        <rFont val="Yu Gothic"/>
        <family val="0"/>
        <charset val="1"/>
      </rPr>
      <t xml:space="preserve">2. 90</t>
    </r>
    <r>
      <rPr>
        <sz val="10"/>
        <color rgb="FF000000"/>
        <rFont val="Yu Gothic"/>
        <family val="2"/>
      </rPr>
      <t xml:space="preserve">日分の日付が自動で入ります。今日の行はオレンジ色に光ります</t>
    </r>
  </si>
  <si>
    <r>
      <rPr>
        <sz val="10"/>
        <color rgb="FF000000"/>
        <rFont val="Yu Gothic"/>
        <family val="0"/>
        <charset val="1"/>
      </rPr>
      <t xml:space="preserve">3. </t>
    </r>
    <r>
      <rPr>
        <sz val="10"/>
        <color rgb="FF000000"/>
        <rFont val="Yu Gothic"/>
        <family val="2"/>
      </rPr>
      <t xml:space="preserve">「進捗」シートを開くと、今日が何日目か・今日のタスク・海域ごとの達成率がわかります</t>
    </r>
  </si>
  <si>
    <t xml:space="preserve">■ 毎日やること</t>
  </si>
  <si>
    <r>
      <rPr>
        <sz val="10"/>
        <color rgb="FF000000"/>
        <rFont val="Yu Gothic"/>
        <family val="2"/>
      </rPr>
      <t xml:space="preserve">・航海図の今日の行を見て、タスクを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つやる → 「完了」列で ✓ を選ぶ</t>
    </r>
  </si>
  <si>
    <r>
      <rPr>
        <sz val="10"/>
        <color rgb="FF000000"/>
        <rFont val="Yu Gothic"/>
        <family val="2"/>
      </rPr>
      <t xml:space="preserve">・できなかった日は空欄のままで</t>
    </r>
    <r>
      <rPr>
        <sz val="10"/>
        <color rgb="FF000000"/>
        <rFont val="Yu Gothic"/>
        <family val="0"/>
        <charset val="1"/>
      </rPr>
      <t xml:space="preserve">OK</t>
    </r>
    <r>
      <rPr>
        <sz val="10"/>
        <color rgb="FF000000"/>
        <rFont val="Yu Gothic"/>
        <family val="2"/>
      </rPr>
      <t xml:space="preserve">。翌日に取り返そうとしない（</t>
    </r>
    <r>
      <rPr>
        <sz val="10"/>
        <color rgb="FF000000"/>
        <rFont val="Yu Gothic"/>
        <family val="0"/>
        <charset val="1"/>
      </rPr>
      <t xml:space="preserve">15</t>
    </r>
    <r>
      <rPr>
        <sz val="10"/>
        <color rgb="FF000000"/>
        <rFont val="Yu Gothic"/>
        <family val="2"/>
      </rPr>
      <t xml:space="preserve">分の枠を守る）</t>
    </r>
  </si>
  <si>
    <r>
      <rPr>
        <b val="true"/>
        <sz val="12"/>
        <color rgb="FF1F3A5F"/>
        <rFont val="Yu Gothic"/>
        <family val="0"/>
        <charset val="1"/>
      </rPr>
      <t xml:space="preserve">■ 90</t>
    </r>
    <r>
      <rPr>
        <b val="true"/>
        <sz val="12"/>
        <color rgb="FF1F3A5F"/>
        <rFont val="Yu Gothic"/>
        <family val="2"/>
      </rPr>
      <t xml:space="preserve">日の</t>
    </r>
    <r>
      <rPr>
        <b val="true"/>
        <sz val="12"/>
        <color rgb="FF1F3A5F"/>
        <rFont val="Yu Gothic"/>
        <family val="0"/>
        <charset val="1"/>
      </rPr>
      <t xml:space="preserve">3</t>
    </r>
    <r>
      <rPr>
        <b val="true"/>
        <sz val="12"/>
        <color rgb="FF1F3A5F"/>
        <rFont val="Yu Gothic"/>
        <family val="2"/>
      </rPr>
      <t xml:space="preserve">つの海域</t>
    </r>
  </si>
  <si>
    <r>
      <rPr>
        <sz val="10"/>
        <color rgb="FF000000"/>
        <rFont val="Yu Gothic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Day1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30 </t>
    </r>
    <r>
      <rPr>
        <sz val="10"/>
        <color rgb="FF000000"/>
        <rFont val="Yu Gothic"/>
        <family val="2"/>
      </rPr>
      <t xml:space="preserve">出航：習慣を作る。最初の</t>
    </r>
    <r>
      <rPr>
        <sz val="10"/>
        <color rgb="FF000000"/>
        <rFont val="Yu Gothic"/>
        <family val="0"/>
        <charset val="1"/>
      </rPr>
      <t xml:space="preserve">14</t>
    </r>
    <r>
      <rPr>
        <sz val="10"/>
        <color rgb="FF000000"/>
        <rFont val="Yu Gothic"/>
        <family val="2"/>
      </rPr>
      <t xml:space="preserve">日はリンクを貼らず、保存される投稿だけに集中</t>
    </r>
  </si>
  <si>
    <r>
      <rPr>
        <sz val="10"/>
        <color rgb="FF000000"/>
        <rFont val="Yu Gothic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Day31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60 </t>
    </r>
    <r>
      <rPr>
        <sz val="10"/>
        <color rgb="FF000000"/>
        <rFont val="Yu Gothic"/>
        <family val="2"/>
      </rPr>
      <t xml:space="preserve">漁場探し：アタリの投稿にだけリンクを置き始める。効く型と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行目を見つける</t>
    </r>
  </si>
  <si>
    <r>
      <rPr>
        <sz val="10"/>
        <color rgb="FF000000"/>
        <rFont val="Yu Gothic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Day61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90 </t>
    </r>
    <r>
      <rPr>
        <sz val="10"/>
        <color rgb="FF000000"/>
        <rFont val="Yu Gothic"/>
        <family val="2"/>
      </rPr>
      <t xml:space="preserve">水揚げ：魚拓（同じテーマのアタリ）を束ねて、</t>
    </r>
    <r>
      <rPr>
        <sz val="10"/>
        <color rgb="FF000000"/>
        <rFont val="Yu Gothic"/>
        <family val="0"/>
        <charset val="1"/>
      </rPr>
      <t xml:space="preserve">note</t>
    </r>
    <r>
      <rPr>
        <sz val="10"/>
        <color rgb="FF000000"/>
        <rFont val="Yu Gothic"/>
        <family val="2"/>
      </rPr>
      <t xml:space="preserve">を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本出す</t>
    </r>
  </si>
  <si>
    <t xml:space="preserve">■ 曜日の考え方</t>
  </si>
  <si>
    <r>
      <rPr>
        <sz val="10"/>
        <color rgb="FF000000"/>
        <rFont val="Yu Gothic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Day1</t>
    </r>
    <r>
      <rPr>
        <sz val="10"/>
        <color rgb="FF000000"/>
        <rFont val="Yu Gothic"/>
        <family val="2"/>
      </rPr>
      <t xml:space="preserve">が何曜日でも大丈夫。このファイルでは「</t>
    </r>
    <r>
      <rPr>
        <sz val="10"/>
        <color rgb="FF000000"/>
        <rFont val="Yu Gothic"/>
        <family val="0"/>
        <charset val="1"/>
      </rPr>
      <t xml:space="preserve">7</t>
    </r>
    <r>
      <rPr>
        <sz val="10"/>
        <color rgb="FF000000"/>
        <rFont val="Yu Gothic"/>
        <family val="2"/>
      </rPr>
      <t xml:space="preserve">日ごと」に週末</t>
    </r>
    <r>
      <rPr>
        <sz val="10"/>
        <color rgb="FF000000"/>
        <rFont val="Yu Gothic"/>
        <family val="0"/>
        <charset val="1"/>
      </rPr>
      <t xml:space="preserve">30</t>
    </r>
    <r>
      <rPr>
        <sz val="10"/>
        <color rgb="FF000000"/>
        <rFont val="Yu Gothic"/>
        <family val="2"/>
      </rPr>
      <t xml:space="preserve">分の日、その前日を休みの日にしています</t>
    </r>
  </si>
  <si>
    <t xml:space="preserve">・あなたの生活に合わせて、休みの日をずらしてかまいません</t>
  </si>
  <si>
    <t xml:space="preserve">■ 一緒に使う特典</t>
  </si>
  <si>
    <r>
      <rPr>
        <sz val="10"/>
        <color rgb="FF000000"/>
        <rFont val="Yu Gothic"/>
        <family val="2"/>
      </rPr>
      <t xml:space="preserve">・特典① </t>
    </r>
    <r>
      <rPr>
        <sz val="10"/>
        <color rgb="FF000000"/>
        <rFont val="Yu Gothic"/>
        <family val="0"/>
        <charset val="1"/>
      </rPr>
      <t xml:space="preserve">AI</t>
    </r>
    <r>
      <rPr>
        <sz val="10"/>
        <color rgb="FF000000"/>
        <rFont val="Yu Gothic"/>
        <family val="2"/>
      </rPr>
      <t xml:space="preserve">編集長プロンプト／特典② 穴埋めテンプレ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Yu Gothic"/>
        <family val="2"/>
      </rPr>
      <t xml:space="preserve">型：毎日の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本づくり</t>
    </r>
  </si>
  <si>
    <r>
      <rPr>
        <sz val="10"/>
        <color rgb="FF000000"/>
        <rFont val="Yu Gothic"/>
        <family val="2"/>
      </rPr>
      <t xml:space="preserve">・特典③ </t>
    </r>
    <r>
      <rPr>
        <sz val="10"/>
        <color rgb="FF000000"/>
        <rFont val="Yu Gothic"/>
        <family val="0"/>
        <charset val="1"/>
      </rPr>
      <t xml:space="preserve">7</t>
    </r>
    <r>
      <rPr>
        <sz val="10"/>
        <color rgb="FF000000"/>
        <rFont val="Yu Gothic"/>
        <family val="2"/>
      </rPr>
      <t xml:space="preserve">日育成カレンダー：</t>
    </r>
    <r>
      <rPr>
        <sz val="10"/>
        <color rgb="FF000000"/>
        <rFont val="Yu Gothic"/>
        <family val="0"/>
        <charset val="1"/>
      </rPr>
      <t xml:space="preserve">Day15</t>
    </r>
    <r>
      <rPr>
        <sz val="10"/>
        <color rgb="FF000000"/>
        <rFont val="Yu Gothic"/>
        <family val="2"/>
      </rPr>
      <t xml:space="preserve">から本格稼働</t>
    </r>
  </si>
  <si>
    <r>
      <rPr>
        <sz val="10"/>
        <color rgb="FF000000"/>
        <rFont val="Yu Gothic"/>
        <family val="2"/>
      </rPr>
      <t xml:space="preserve">・特典④ 釣果ノート：毎週末の記録と、</t>
    </r>
    <r>
      <rPr>
        <sz val="10"/>
        <color rgb="FF000000"/>
        <rFont val="Yu Gothic"/>
        <family val="0"/>
        <charset val="1"/>
      </rPr>
      <t xml:space="preserve">Day60</t>
    </r>
    <r>
      <rPr>
        <sz val="10"/>
        <color rgb="FF000000"/>
        <rFont val="Yu Gothic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Day90</t>
    </r>
    <r>
      <rPr>
        <sz val="10"/>
        <color rgb="FF000000"/>
        <rFont val="Yu Gothic"/>
        <family val="2"/>
      </rPr>
      <t xml:space="preserve">の点検</t>
    </r>
  </si>
  <si>
    <t xml:space="preserve">※収益の金額は人によって大きく異なり、このチェックリストは成果を保証するものではありません</t>
  </si>
  <si>
    <t xml:space="preserve">進捗</t>
  </si>
  <si>
    <t xml:space="preserve">すべて自動計算です</t>
  </si>
  <si>
    <t xml:space="preserve">項目</t>
  </si>
  <si>
    <t xml:space="preserve">値</t>
  </si>
  <si>
    <t xml:space="preserve">今日の日付</t>
  </si>
  <si>
    <t xml:space="preserve">今日は何日目？</t>
  </si>
  <si>
    <t xml:space="preserve">今日のタスク</t>
  </si>
  <si>
    <t xml:space="preserve">全体の達成率</t>
  </si>
  <si>
    <r>
      <rPr>
        <sz val="10"/>
        <color rgb="FF000000"/>
        <rFont val="Yu Gothic"/>
        <family val="2"/>
      </rPr>
      <t xml:space="preserve">出航（</t>
    </r>
    <r>
      <rPr>
        <sz val="10"/>
        <color rgb="FF000000"/>
        <rFont val="Yu Gothic"/>
        <family val="0"/>
        <charset val="1"/>
      </rPr>
      <t xml:space="preserve">Day1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30</t>
    </r>
    <r>
      <rPr>
        <sz val="10"/>
        <color rgb="FF000000"/>
        <rFont val="Yu Gothic"/>
        <family val="2"/>
      </rPr>
      <t xml:space="preserve">）</t>
    </r>
  </si>
  <si>
    <r>
      <rPr>
        <sz val="10"/>
        <color rgb="FF000000"/>
        <rFont val="Yu Gothic"/>
        <family val="2"/>
      </rPr>
      <t xml:space="preserve">漁場探し（</t>
    </r>
    <r>
      <rPr>
        <sz val="10"/>
        <color rgb="FF000000"/>
        <rFont val="Yu Gothic"/>
        <family val="0"/>
        <charset val="1"/>
      </rPr>
      <t xml:space="preserve">Day31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60</t>
    </r>
    <r>
      <rPr>
        <sz val="10"/>
        <color rgb="FF000000"/>
        <rFont val="Yu Gothic"/>
        <family val="2"/>
      </rPr>
      <t xml:space="preserve">）</t>
    </r>
  </si>
  <si>
    <r>
      <rPr>
        <sz val="10"/>
        <color rgb="FF000000"/>
        <rFont val="Yu Gothic"/>
        <family val="2"/>
      </rPr>
      <t xml:space="preserve">水揚げ（</t>
    </r>
    <r>
      <rPr>
        <sz val="10"/>
        <color rgb="FF000000"/>
        <rFont val="Yu Gothic"/>
        <family val="0"/>
        <charset val="1"/>
      </rPr>
      <t xml:space="preserve">Day61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90</t>
    </r>
    <r>
      <rPr>
        <sz val="10"/>
        <color rgb="FF000000"/>
        <rFont val="Yu Gothic"/>
        <family val="2"/>
      </rPr>
      <t xml:space="preserve">）</t>
    </r>
  </si>
  <si>
    <t xml:space="preserve">連続していなくても大丈夫</t>
  </si>
  <si>
    <r>
      <rPr>
        <b val="true"/>
        <sz val="16"/>
        <color rgb="FF1F3A5F"/>
        <rFont val="Yu Gothic"/>
        <family val="0"/>
        <charset val="1"/>
      </rPr>
      <t xml:space="preserve">90</t>
    </r>
    <r>
      <rPr>
        <b val="true"/>
        <sz val="16"/>
        <color rgb="FF1F3A5F"/>
        <rFont val="Yu Gothic"/>
        <family val="2"/>
      </rPr>
      <t xml:space="preserve">日航海図</t>
    </r>
  </si>
  <si>
    <t xml:space="preserve">黄色＝入力（出航日・完了・メモ）／オレンジ＝今日</t>
  </si>
  <si>
    <r>
      <rPr>
        <b val="true"/>
        <sz val="10"/>
        <color rgb="FF000000"/>
        <rFont val="Yu Gothic"/>
        <family val="2"/>
      </rPr>
      <t xml:space="preserve">出航日（</t>
    </r>
    <r>
      <rPr>
        <b val="true"/>
        <sz val="10"/>
        <color rgb="FF000000"/>
        <rFont val="Yu Gothic"/>
        <family val="0"/>
        <charset val="1"/>
      </rPr>
      <t xml:space="preserve">Day1</t>
    </r>
    <r>
      <rPr>
        <b val="true"/>
        <sz val="10"/>
        <color rgb="FF000000"/>
        <rFont val="Yu Gothic"/>
        <family val="2"/>
      </rPr>
      <t xml:space="preserve">）</t>
    </r>
  </si>
  <si>
    <t xml:space="preserve">↑ここを自分の出航日に書き換えてください</t>
  </si>
  <si>
    <t xml:space="preserve">Day</t>
  </si>
  <si>
    <t xml:space="preserve">日付</t>
  </si>
  <si>
    <t xml:space="preserve">曜日</t>
  </si>
  <si>
    <t xml:space="preserve">海域</t>
  </si>
  <si>
    <t xml:space="preserve">区分</t>
  </si>
  <si>
    <t xml:space="preserve">目安</t>
  </si>
  <si>
    <t xml:space="preserve">完了</t>
  </si>
  <si>
    <t xml:space="preserve">メモ</t>
  </si>
  <si>
    <t xml:space="preserve">出航（習慣を作る）</t>
  </si>
  <si>
    <t xml:space="preserve">準備</t>
  </si>
  <si>
    <r>
      <rPr>
        <b val="true"/>
        <sz val="10"/>
        <color rgb="FF1F3A5F"/>
        <rFont val="Yu Gothic"/>
        <family val="2"/>
      </rPr>
      <t xml:space="preserve">釣り場の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行を決める（本編 第</t>
    </r>
    <r>
      <rPr>
        <b val="true"/>
        <sz val="10"/>
        <color rgb="FF1F3A5F"/>
        <rFont val="Yu Gothic"/>
        <family val="0"/>
        <charset val="1"/>
      </rPr>
      <t xml:space="preserve">2</t>
    </r>
    <r>
      <rPr>
        <b val="true"/>
        <sz val="10"/>
        <color rgb="FF1F3A5F"/>
        <rFont val="Yu Gothic"/>
        <family val="2"/>
      </rPr>
      <t xml:space="preserve">章のワーク：去年の自分の困りごと</t>
    </r>
    <r>
      <rPr>
        <b val="true"/>
        <sz val="10"/>
        <color rgb="FF1F3A5F"/>
        <rFont val="Yu Gothic"/>
        <family val="0"/>
        <charset val="1"/>
      </rPr>
      <t xml:space="preserve">10</t>
    </r>
    <r>
      <rPr>
        <b val="true"/>
        <sz val="10"/>
        <color rgb="FF1F3A5F"/>
        <rFont val="Yu Gothic"/>
        <family val="2"/>
      </rPr>
      <t xml:space="preserve">個→丸と星→宣言文）</t>
    </r>
  </si>
  <si>
    <r>
      <rPr>
        <b val="true"/>
        <sz val="10"/>
        <color rgb="FF1F3A5F"/>
        <rFont val="Yu Gothic"/>
        <family val="0"/>
        <charset val="1"/>
      </rPr>
      <t xml:space="preserve">20</t>
    </r>
    <r>
      <rPr>
        <b val="true"/>
        <sz val="10"/>
        <color rgb="FF1F3A5F"/>
        <rFont val="Yu Gothic"/>
        <family val="2"/>
      </rPr>
      <t xml:space="preserve">分</t>
    </r>
  </si>
  <si>
    <r>
      <rPr>
        <b val="true"/>
        <sz val="10"/>
        <color rgb="FF1F3A5F"/>
        <rFont val="Yu Gothic"/>
        <family val="2"/>
      </rPr>
      <t xml:space="preserve">エサ箱メモを作る＋</t>
    </r>
    <r>
      <rPr>
        <b val="true"/>
        <sz val="10"/>
        <color rgb="FF1F3A5F"/>
        <rFont val="Yu Gothic"/>
        <family val="0"/>
        <charset val="1"/>
      </rPr>
      <t xml:space="preserve">3</t>
    </r>
    <r>
      <rPr>
        <b val="true"/>
        <sz val="10"/>
        <color rgb="FF1F3A5F"/>
        <rFont val="Yu Gothic"/>
        <family val="2"/>
      </rPr>
      <t xml:space="preserve">行プロフィールを整える（</t>
    </r>
    <r>
      <rPr>
        <b val="true"/>
        <sz val="10"/>
        <color rgb="FF1F3A5F"/>
        <rFont val="Yu Gothic"/>
        <family val="0"/>
        <charset val="1"/>
      </rPr>
      <t xml:space="preserve">#PR</t>
    </r>
    <r>
      <rPr>
        <b val="true"/>
        <sz val="10"/>
        <color rgb="FF1F3A5F"/>
        <rFont val="Yu Gothic"/>
        <family val="2"/>
      </rPr>
      <t xml:space="preserve">表記も）／今日からメモを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日</t>
    </r>
    <r>
      <rPr>
        <b val="true"/>
        <sz val="10"/>
        <color rgb="FF1F3A5F"/>
        <rFont val="Yu Gothic"/>
        <family val="0"/>
        <charset val="1"/>
      </rPr>
      <t xml:space="preserve">3</t>
    </r>
    <r>
      <rPr>
        <b val="true"/>
        <sz val="10"/>
        <color rgb="FF1F3A5F"/>
        <rFont val="Yu Gothic"/>
        <family val="2"/>
      </rPr>
      <t xml:space="preserve">つ</t>
    </r>
  </si>
  <si>
    <r>
      <rPr>
        <b val="true"/>
        <sz val="10"/>
        <color rgb="FF1F3A5F"/>
        <rFont val="Yu Gothic"/>
        <family val="2"/>
      </rPr>
      <t xml:space="preserve">楽天アフィリエイトに登録→リンクを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つ作ってみる／楽天</t>
    </r>
    <r>
      <rPr>
        <b val="true"/>
        <sz val="10"/>
        <color rgb="FF1F3A5F"/>
        <rFont val="Yu Gothic"/>
        <family val="0"/>
        <charset val="1"/>
      </rPr>
      <t xml:space="preserve">ROOM</t>
    </r>
    <r>
      <rPr>
        <b val="true"/>
        <sz val="10"/>
        <color rgb="FF1F3A5F"/>
        <rFont val="Yu Gothic"/>
        <family val="2"/>
      </rPr>
      <t xml:space="preserve">を開設してプロフィールにリンク</t>
    </r>
  </si>
  <si>
    <t xml:space="preserve">投稿</t>
  </si>
  <si>
    <r>
      <rPr>
        <b val="true"/>
        <sz val="10"/>
        <color rgb="FF1F3A5F"/>
        <rFont val="Yu Gothic"/>
        <family val="2"/>
      </rPr>
      <t xml:space="preserve">初投稿！型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で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本（特典②）→プロンプト②編集→③検品→体験を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行足して予約。リンクは貼らない</t>
    </r>
  </si>
  <si>
    <r>
      <rPr>
        <b val="true"/>
        <sz val="10"/>
        <color rgb="FF1F3A5F"/>
        <rFont val="Yu Gothic"/>
        <family val="0"/>
        <charset val="1"/>
      </rPr>
      <t xml:space="preserve">15</t>
    </r>
    <r>
      <rPr>
        <b val="true"/>
        <sz val="10"/>
        <color rgb="FF1F3A5F"/>
        <rFont val="Yu Gothic"/>
        <family val="2"/>
      </rPr>
      <t xml:space="preserve">分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</si>
  <si>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5 </t>
    </r>
    <r>
      <rPr>
        <sz val="10"/>
        <color rgb="FF000000"/>
        <rFont val="Yu Gothic"/>
        <family val="2"/>
      </rPr>
      <t xml:space="preserve">問いかけ型で投稿。リンクは貼らない（保存される投稿づくりに集中）</t>
    </r>
  </si>
  <si>
    <r>
      <rPr>
        <sz val="10"/>
        <color rgb="FF000000"/>
        <rFont val="Yu Gothic"/>
        <family val="0"/>
        <charset val="1"/>
      </rPr>
      <t xml:space="preserve">15</t>
    </r>
    <r>
      <rPr>
        <sz val="10"/>
        <color rgb="FF000000"/>
        <rFont val="Yu Gothic"/>
        <family val="2"/>
      </rPr>
      <t xml:space="preserve">分</t>
    </r>
  </si>
  <si>
    <t xml:space="preserve">休み</t>
  </si>
  <si>
    <r>
      <rPr>
        <sz val="10"/>
        <color rgb="FF000000"/>
        <rFont val="Yu Gothic"/>
        <family val="2"/>
      </rPr>
      <t xml:space="preserve">休みの日（エサ拾いだけ）：エサ箱にメモを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つ。投稿は休んで</t>
    </r>
    <r>
      <rPr>
        <sz val="10"/>
        <color rgb="FF000000"/>
        <rFont val="Yu Gothic"/>
        <family val="0"/>
        <charset val="1"/>
      </rPr>
      <t xml:space="preserve">OK</t>
    </r>
  </si>
  <si>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分</t>
    </r>
  </si>
  <si>
    <t xml:space="preserve">週末</t>
  </si>
  <si>
    <r>
      <rPr>
        <b val="true"/>
        <sz val="10"/>
        <color rgb="FF1F3A5F"/>
        <rFont val="Yu Gothic"/>
        <family val="2"/>
      </rPr>
      <t xml:space="preserve">最初の週末</t>
    </r>
    <r>
      <rPr>
        <b val="true"/>
        <sz val="10"/>
        <color rgb="FF1F3A5F"/>
        <rFont val="Yu Gothic"/>
        <family val="0"/>
        <charset val="1"/>
      </rPr>
      <t xml:space="preserve">30</t>
    </r>
    <r>
      <rPr>
        <b val="true"/>
        <sz val="10"/>
        <color rgb="FF1F3A5F"/>
        <rFont val="Yu Gothic"/>
        <family val="2"/>
      </rPr>
      <t xml:space="preserve">分：エサ箱を見返す→プロンプト①壁打ちで来週</t>
    </r>
    <r>
      <rPr>
        <b val="true"/>
        <sz val="10"/>
        <color rgb="FF1F3A5F"/>
        <rFont val="Yu Gothic"/>
        <family val="0"/>
        <charset val="1"/>
      </rPr>
      <t xml:space="preserve">5</t>
    </r>
    <r>
      <rPr>
        <b val="true"/>
        <sz val="10"/>
        <color rgb="FF1F3A5F"/>
        <rFont val="Yu Gothic"/>
        <family val="2"/>
      </rPr>
      <t xml:space="preserve">本の種→釣果ノートに</t>
    </r>
    <r>
      <rPr>
        <b val="true"/>
        <sz val="10"/>
        <color rgb="FF1F3A5F"/>
        <rFont val="Yu Gothic"/>
        <family val="0"/>
        <charset val="1"/>
      </rPr>
      <t xml:space="preserve">3</t>
    </r>
    <r>
      <rPr>
        <b val="true"/>
        <sz val="10"/>
        <color rgb="FF1F3A5F"/>
        <rFont val="Yu Gothic"/>
        <family val="2"/>
      </rPr>
      <t xml:space="preserve">本記録</t>
    </r>
  </si>
  <si>
    <r>
      <rPr>
        <b val="true"/>
        <sz val="10"/>
        <color rgb="FF1F3A5F"/>
        <rFont val="Yu Gothic"/>
        <family val="0"/>
        <charset val="1"/>
      </rPr>
      <t xml:space="preserve">30</t>
    </r>
    <r>
      <rPr>
        <b val="true"/>
        <sz val="10"/>
        <color rgb="FF1F3A5F"/>
        <rFont val="Yu Gothic"/>
        <family val="2"/>
      </rPr>
      <t xml:space="preserve">分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</si>
  <si>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1 </t>
    </r>
    <r>
      <rPr>
        <sz val="10"/>
        <color rgb="FF000000"/>
        <rFont val="Yu Gothic"/>
        <family val="2"/>
      </rPr>
      <t xml:space="preserve">場面→工夫型で投稿。リンクは貼らない（保存される投稿づくりに集中）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</si>
  <si>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2 </t>
    </r>
    <r>
      <rPr>
        <sz val="10"/>
        <color rgb="FF000000"/>
        <rFont val="Yu Gothic"/>
        <family val="2"/>
      </rPr>
      <t xml:space="preserve">ビフォーアフター型で投稿。リンクは貼らない（保存される投稿づくりに集中）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</si>
  <si>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3 </t>
    </r>
    <r>
      <rPr>
        <sz val="10"/>
        <color rgb="FF000000"/>
        <rFont val="Yu Gothic"/>
        <family val="2"/>
      </rPr>
      <t xml:space="preserve">失敗談型で投稿。リンクは貼らない（保存される投稿づくりに集中）</t>
    </r>
  </si>
  <si>
    <t xml:space="preserve">点検</t>
  </si>
  <si>
    <r>
      <rPr>
        <b val="true"/>
        <sz val="10"/>
        <color rgb="FF1F3A5F"/>
        <rFont val="Yu Gothic"/>
        <family val="2"/>
      </rPr>
      <t xml:space="preserve">「</t>
    </r>
    <r>
      <rPr>
        <b val="true"/>
        <sz val="10"/>
        <color rgb="FF1F3A5F"/>
        <rFont val="Yu Gothic"/>
        <family val="0"/>
        <charset val="1"/>
      </rPr>
      <t xml:space="preserve">AI</t>
    </r>
    <r>
      <rPr>
        <b val="true"/>
        <sz val="10"/>
        <color rgb="FF1F3A5F"/>
        <rFont val="Yu Gothic"/>
        <family val="2"/>
      </rPr>
      <t xml:space="preserve">の初期設定プロンプト」を新しいチャットで作り直す（</t>
    </r>
    <r>
      <rPr>
        <b val="true"/>
        <sz val="10"/>
        <color rgb="FF1F3A5F"/>
        <rFont val="Yu Gothic"/>
        <family val="0"/>
        <charset val="1"/>
      </rPr>
      <t xml:space="preserve">AI</t>
    </r>
    <r>
      <rPr>
        <b val="true"/>
        <sz val="10"/>
        <color rgb="FF1F3A5F"/>
        <rFont val="Yu Gothic"/>
        <family val="2"/>
      </rPr>
      <t xml:space="preserve">がルールを忘れていないか確認）　＋　今日の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本（型</t>
    </r>
    <r>
      <rPr>
        <b val="true"/>
        <sz val="10"/>
        <color rgb="FF1F3A5F"/>
        <rFont val="Yu Gothic"/>
        <family val="0"/>
        <charset val="1"/>
      </rPr>
      <t xml:space="preserve">4 </t>
    </r>
    <r>
      <rPr>
        <b val="true"/>
        <sz val="10"/>
        <color rgb="FF1F3A5F"/>
        <rFont val="Yu Gothic"/>
        <family val="2"/>
      </rPr>
      <t xml:space="preserve">比べてみた型）</t>
    </r>
  </si>
  <si>
    <r>
      <rPr>
        <b val="true"/>
        <sz val="10"/>
        <color rgb="FF1F3A5F"/>
        <rFont val="Yu Gothic"/>
        <family val="0"/>
        <charset val="1"/>
      </rPr>
      <t xml:space="preserve">5</t>
    </r>
    <r>
      <rPr>
        <b val="true"/>
        <sz val="10"/>
        <color rgb="FF1F3A5F"/>
        <rFont val="Yu Gothic"/>
        <family val="2"/>
      </rPr>
      <t xml:space="preserve">分＋</t>
    </r>
    <r>
      <rPr>
        <b val="true"/>
        <sz val="10"/>
        <color rgb="FF1F3A5F"/>
        <rFont val="Yu Gothic"/>
        <family val="0"/>
        <charset val="1"/>
      </rPr>
      <t xml:space="preserve">15</t>
    </r>
    <r>
      <rPr>
        <b val="true"/>
        <sz val="10"/>
        <color rgb="FF1F3A5F"/>
        <rFont val="Yu Gothic"/>
        <family val="2"/>
      </rPr>
      <t xml:space="preserve">分</t>
    </r>
  </si>
  <si>
    <r>
      <rPr>
        <b val="true"/>
        <sz val="10"/>
        <color rgb="FF1F3A5F"/>
        <rFont val="Yu Gothic"/>
        <family val="0"/>
        <charset val="1"/>
      </rPr>
      <t xml:space="preserve">2</t>
    </r>
    <r>
      <rPr>
        <b val="true"/>
        <sz val="10"/>
        <color rgb="FF1F3A5F"/>
        <rFont val="Yu Gothic"/>
        <family val="2"/>
      </rPr>
      <t xml:space="preserve">週目の振り返り：釣果ノートの型別分析を初めて見る。明日から</t>
    </r>
    <r>
      <rPr>
        <b val="true"/>
        <sz val="10"/>
        <color rgb="FF1F3A5F"/>
        <rFont val="Yu Gothic"/>
        <family val="0"/>
        <charset val="1"/>
      </rPr>
      <t xml:space="preserve">7</t>
    </r>
    <r>
      <rPr>
        <b val="true"/>
        <sz val="10"/>
        <color rgb="FF1F3A5F"/>
        <rFont val="Yu Gothic"/>
        <family val="2"/>
      </rPr>
      <t xml:space="preserve">日育成カレンダーを本格稼働</t>
    </r>
  </si>
  <si>
    <r>
      <rPr>
        <b val="true"/>
        <sz val="10"/>
        <color rgb="FF1F3A5F"/>
        <rFont val="Yu Gothic"/>
        <family val="0"/>
        <charset val="1"/>
      </rPr>
      <t xml:space="preserve">7</t>
    </r>
    <r>
      <rPr>
        <b val="true"/>
        <sz val="10"/>
        <color rgb="FF1F3A5F"/>
        <rFont val="Yu Gothic"/>
        <family val="2"/>
      </rPr>
      <t xml:space="preserve">日育成カレンダー開始：育成ボードに投稿日と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行目を入れる。今日から毎日「今日のやること」を最初に開く</t>
    </r>
  </si>
  <si>
    <r>
      <rPr>
        <b val="true"/>
        <sz val="10"/>
        <color rgb="FF1F3A5F"/>
        <rFont val="Yu Gothic"/>
        <family val="0"/>
        <charset val="1"/>
      </rPr>
      <t xml:space="preserve">15</t>
    </r>
    <r>
      <rPr>
        <b val="true"/>
        <sz val="10"/>
        <color rgb="FF1F3A5F"/>
        <rFont val="Yu Gothic"/>
        <family val="2"/>
      </rPr>
      <t xml:space="preserve">分＋</t>
    </r>
    <r>
      <rPr>
        <b val="true"/>
        <sz val="10"/>
        <color rgb="FF1F3A5F"/>
        <rFont val="Yu Gothic"/>
        <family val="0"/>
        <charset val="1"/>
      </rPr>
      <t xml:space="preserve">3</t>
    </r>
    <r>
      <rPr>
        <b val="true"/>
        <sz val="10"/>
        <color rgb="FF1F3A5F"/>
        <rFont val="Yu Gothic"/>
        <family val="2"/>
      </rPr>
      <t xml:space="preserve">分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</si>
  <si>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2 </t>
    </r>
    <r>
      <rPr>
        <sz val="10"/>
        <color rgb="FF000000"/>
        <rFont val="Yu Gothic"/>
        <family val="2"/>
      </rPr>
      <t xml:space="preserve">ビフォーアフター型で投稿。育成ボードの今日のやること（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分）を先に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</si>
  <si>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3 </t>
    </r>
    <r>
      <rPr>
        <sz val="10"/>
        <color rgb="FF000000"/>
        <rFont val="Yu Gothic"/>
        <family val="2"/>
      </rPr>
      <t xml:space="preserve">失敗談型で投稿。育成ボードの今日のやること（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分）を先に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</si>
  <si>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4 </t>
    </r>
    <r>
      <rPr>
        <sz val="10"/>
        <color rgb="FF000000"/>
        <rFont val="Yu Gothic"/>
        <family val="2"/>
      </rPr>
      <t xml:space="preserve">比べてみた型で投稿。育成ボードの今日のやること（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分）を先に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</si>
  <si>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5 </t>
    </r>
    <r>
      <rPr>
        <sz val="10"/>
        <color rgb="FF000000"/>
        <rFont val="Yu Gothic"/>
        <family val="2"/>
      </rPr>
      <t xml:space="preserve">問いかけ型で投稿。育成ボードの今日のやること（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分）を先に</t>
    </r>
  </si>
  <si>
    <r>
      <rPr>
        <b val="true"/>
        <sz val="10"/>
        <color rgb="FF1F3A5F"/>
        <rFont val="Yu Gothic"/>
        <family val="0"/>
        <charset val="1"/>
      </rPr>
      <t xml:space="preserve">3</t>
    </r>
    <r>
      <rPr>
        <b val="true"/>
        <sz val="10"/>
        <color rgb="FF1F3A5F"/>
        <rFont val="Yu Gothic"/>
        <family val="2"/>
      </rPr>
      <t xml:space="preserve">週目の振り返り＋アタリ基準の見直し（設定シート）。基準が厳しすぎ</t>
    </r>
    <r>
      <rPr>
        <b val="true"/>
        <sz val="10"/>
        <color rgb="FF1F3A5F"/>
        <rFont val="Yu Gothic"/>
        <family val="0"/>
        <charset val="1"/>
      </rPr>
      <t xml:space="preserve">/</t>
    </r>
    <r>
      <rPr>
        <b val="true"/>
        <sz val="10"/>
        <color rgb="FF1F3A5F"/>
        <rFont val="Yu Gothic"/>
        <family val="2"/>
      </rPr>
      <t xml:space="preserve">甘すぎなら調整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</si>
  <si>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1 </t>
    </r>
    <r>
      <rPr>
        <sz val="10"/>
        <color rgb="FF000000"/>
        <rFont val="Yu Gothic"/>
        <family val="2"/>
      </rPr>
      <t xml:space="preserve">場面→工夫型で投稿。育成ボードの今日のやること（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Yu Gothic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分）を先に</t>
    </r>
  </si>
  <si>
    <r>
      <rPr>
        <sz val="10"/>
        <color rgb="FF000000"/>
        <rFont val="Yu Gothic"/>
        <family val="2"/>
      </rPr>
      <t xml:space="preserve">週末</t>
    </r>
    <r>
      <rPr>
        <sz val="10"/>
        <color rgb="FF000000"/>
        <rFont val="Yu Gothic"/>
        <family val="0"/>
        <charset val="1"/>
      </rPr>
      <t xml:space="preserve">30</t>
    </r>
    <r>
      <rPr>
        <sz val="10"/>
        <color rgb="FF000000"/>
        <rFont val="Yu Gothic"/>
        <family val="2"/>
      </rPr>
      <t xml:space="preserve">分：エサ箱→壁打ち（プロンプト①）→釣果ノート記入→週次ふりかえりに「続ける・やめる・試す」</t>
    </r>
  </si>
  <si>
    <r>
      <rPr>
        <sz val="10"/>
        <color rgb="FF000000"/>
        <rFont val="Yu Gothic"/>
        <family val="0"/>
        <charset val="1"/>
      </rPr>
      <t xml:space="preserve">30</t>
    </r>
    <r>
      <rPr>
        <sz val="10"/>
        <color rgb="FF000000"/>
        <rFont val="Yu Gothic"/>
        <family val="2"/>
      </rPr>
      <t xml:space="preserve">分</t>
    </r>
  </si>
  <si>
    <r>
      <rPr>
        <b val="true"/>
        <sz val="10"/>
        <color rgb="FF1F3A5F"/>
        <rFont val="Yu Gothic"/>
        <family val="2"/>
      </rPr>
      <t xml:space="preserve">出航</t>
    </r>
    <r>
      <rPr>
        <b val="true"/>
        <sz val="10"/>
        <color rgb="FF1F3A5F"/>
        <rFont val="Yu Gothic"/>
        <family val="0"/>
        <charset val="1"/>
      </rPr>
      <t xml:space="preserve">30</t>
    </r>
    <r>
      <rPr>
        <b val="true"/>
        <sz val="10"/>
        <color rgb="FF1F3A5F"/>
        <rFont val="Yu Gothic"/>
        <family val="2"/>
      </rPr>
      <t xml:space="preserve">日の点検：続いた日数を数えて自分をほめる。効く型と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行目の仮説を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つずつ書く　＋　今日の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本（型</t>
    </r>
    <r>
      <rPr>
        <b val="true"/>
        <sz val="10"/>
        <color rgb="FF1F3A5F"/>
        <rFont val="Yu Gothic"/>
        <family val="0"/>
        <charset val="1"/>
      </rPr>
      <t xml:space="preserve">2 </t>
    </r>
    <r>
      <rPr>
        <b val="true"/>
        <sz val="10"/>
        <color rgb="FF1F3A5F"/>
        <rFont val="Yu Gothic"/>
        <family val="2"/>
      </rPr>
      <t xml:space="preserve">ビフォーアフター型）</t>
    </r>
  </si>
  <si>
    <r>
      <rPr>
        <b val="true"/>
        <sz val="10"/>
        <color rgb="FF1F3A5F"/>
        <rFont val="Yu Gothic"/>
        <family val="0"/>
        <charset val="1"/>
      </rPr>
      <t xml:space="preserve">30</t>
    </r>
    <r>
      <rPr>
        <b val="true"/>
        <sz val="10"/>
        <color rgb="FF1F3A5F"/>
        <rFont val="Yu Gothic"/>
        <family val="2"/>
      </rPr>
      <t xml:space="preserve">分＋</t>
    </r>
    <r>
      <rPr>
        <b val="true"/>
        <sz val="10"/>
        <color rgb="FF1F3A5F"/>
        <rFont val="Yu Gothic"/>
        <family val="0"/>
        <charset val="1"/>
      </rPr>
      <t xml:space="preserve">15</t>
    </r>
    <r>
      <rPr>
        <b val="true"/>
        <sz val="10"/>
        <color rgb="FF1F3A5F"/>
        <rFont val="Yu Gothic"/>
        <family val="2"/>
      </rPr>
      <t xml:space="preserve">分</t>
    </r>
  </si>
  <si>
    <t xml:space="preserve">漁場探し（アタリの型を見つける）</t>
  </si>
  <si>
    <r>
      <rPr>
        <b val="true"/>
        <sz val="10"/>
        <color rgb="FF1F3A5F"/>
        <rFont val="Yu Gothic"/>
        <family val="2"/>
      </rPr>
      <t xml:space="preserve">漁場探し開始：今日以降、</t>
    </r>
    <r>
      <rPr>
        <b val="true"/>
        <sz val="10"/>
        <color rgb="FF1F3A5F"/>
        <rFont val="Yu Gothic"/>
        <family val="0"/>
        <charset val="1"/>
      </rPr>
      <t xml:space="preserve">Day3</t>
    </r>
    <r>
      <rPr>
        <b val="true"/>
        <sz val="10"/>
        <color rgb="FF1F3A5F"/>
        <rFont val="Yu Gothic"/>
        <family val="2"/>
      </rPr>
      <t xml:space="preserve">でアタリ判定した投稿にだけ</t>
    </r>
    <r>
      <rPr>
        <b val="true"/>
        <sz val="10"/>
        <color rgb="FF1F3A5F"/>
        <rFont val="Yu Gothic"/>
        <family val="0"/>
        <charset val="1"/>
      </rPr>
      <t xml:space="preserve">Day4</t>
    </r>
    <r>
      <rPr>
        <b val="true"/>
        <sz val="10"/>
        <color rgb="FF1F3A5F"/>
        <rFont val="Yu Gothic"/>
        <family val="2"/>
      </rPr>
      <t xml:space="preserve">でリンクを置く（週</t>
    </r>
    <r>
      <rPr>
        <b val="true"/>
        <sz val="10"/>
        <color rgb="FF1F3A5F"/>
        <rFont val="Yu Gothic"/>
        <family val="0"/>
        <charset val="1"/>
      </rPr>
      <t xml:space="preserve">2</t>
    </r>
    <r>
      <rPr>
        <b val="true"/>
        <sz val="10"/>
        <color rgb="FF1F3A5F"/>
        <rFont val="Yu Gothic"/>
        <family val="2"/>
      </rPr>
      <t xml:space="preserve">〜</t>
    </r>
    <r>
      <rPr>
        <b val="true"/>
        <sz val="10"/>
        <color rgb="FF1F3A5F"/>
        <rFont val="Yu Gothic"/>
        <family val="0"/>
        <charset val="1"/>
      </rPr>
      <t xml:space="preserve">3</t>
    </r>
    <r>
      <rPr>
        <b val="true"/>
        <sz val="10"/>
        <color rgb="FF1F3A5F"/>
        <rFont val="Yu Gothic"/>
        <family val="2"/>
      </rPr>
      <t xml:space="preserve">本まで）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</si>
  <si>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4 </t>
    </r>
    <r>
      <rPr>
        <sz val="10"/>
        <color rgb="FF000000"/>
        <rFont val="Yu Gothic"/>
        <family val="2"/>
      </rPr>
      <t xml:space="preserve">比べてみた型で投稿。アタリの</t>
    </r>
    <r>
      <rPr>
        <sz val="10"/>
        <color rgb="FF000000"/>
        <rFont val="Yu Gothic"/>
        <family val="0"/>
        <charset val="1"/>
      </rPr>
      <t xml:space="preserve">Day4</t>
    </r>
    <r>
      <rPr>
        <sz val="10"/>
        <color rgb="FF000000"/>
        <rFont val="Yu Gothic"/>
        <family val="2"/>
      </rPr>
      <t xml:space="preserve">だけリンク（コメント欄＋</t>
    </r>
    <r>
      <rPr>
        <sz val="10"/>
        <color rgb="FF000000"/>
        <rFont val="Yu Gothic"/>
        <family val="0"/>
        <charset val="1"/>
      </rPr>
      <t xml:space="preserve">#PR</t>
    </r>
    <r>
      <rPr>
        <sz val="10"/>
        <color rgb="FF000000"/>
        <rFont val="Yu Gothic"/>
        <family val="2"/>
      </rPr>
      <t xml:space="preserve">）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</si>
  <si>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5 </t>
    </r>
    <r>
      <rPr>
        <sz val="10"/>
        <color rgb="FF000000"/>
        <rFont val="Yu Gothic"/>
        <family val="2"/>
      </rPr>
      <t xml:space="preserve">問いかけ型で投稿。アタリの</t>
    </r>
    <r>
      <rPr>
        <sz val="10"/>
        <color rgb="FF000000"/>
        <rFont val="Yu Gothic"/>
        <family val="0"/>
        <charset val="1"/>
      </rPr>
      <t xml:space="preserve">Day4</t>
    </r>
    <r>
      <rPr>
        <sz val="10"/>
        <color rgb="FF000000"/>
        <rFont val="Yu Gothic"/>
        <family val="2"/>
      </rPr>
      <t xml:space="preserve">だけリンク（コメント欄＋</t>
    </r>
    <r>
      <rPr>
        <sz val="10"/>
        <color rgb="FF000000"/>
        <rFont val="Yu Gothic"/>
        <family val="0"/>
        <charset val="1"/>
      </rPr>
      <t xml:space="preserve">#PR</t>
    </r>
    <r>
      <rPr>
        <sz val="10"/>
        <color rgb="FF000000"/>
        <rFont val="Yu Gothic"/>
        <family val="2"/>
      </rPr>
      <t xml:space="preserve">）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</si>
  <si>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1 </t>
    </r>
    <r>
      <rPr>
        <sz val="10"/>
        <color rgb="FF000000"/>
        <rFont val="Yu Gothic"/>
        <family val="2"/>
      </rPr>
      <t xml:space="preserve">場面→工夫型で投稿。アタリの</t>
    </r>
    <r>
      <rPr>
        <sz val="10"/>
        <color rgb="FF000000"/>
        <rFont val="Yu Gothic"/>
        <family val="0"/>
        <charset val="1"/>
      </rPr>
      <t xml:space="preserve">Day4</t>
    </r>
    <r>
      <rPr>
        <sz val="10"/>
        <color rgb="FF000000"/>
        <rFont val="Yu Gothic"/>
        <family val="2"/>
      </rPr>
      <t xml:space="preserve">だけリンク（コメント欄＋</t>
    </r>
    <r>
      <rPr>
        <sz val="10"/>
        <color rgb="FF000000"/>
        <rFont val="Yu Gothic"/>
        <family val="0"/>
        <charset val="1"/>
      </rPr>
      <t xml:space="preserve">#PR</t>
    </r>
    <r>
      <rPr>
        <sz val="10"/>
        <color rgb="FF000000"/>
        <rFont val="Yu Gothic"/>
        <family val="2"/>
      </rPr>
      <t xml:space="preserve">）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</si>
  <si>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2 </t>
    </r>
    <r>
      <rPr>
        <sz val="10"/>
        <color rgb="FF000000"/>
        <rFont val="Yu Gothic"/>
        <family val="2"/>
      </rPr>
      <t xml:space="preserve">ビフォーアフター型で投稿。アタリの</t>
    </r>
    <r>
      <rPr>
        <sz val="10"/>
        <color rgb="FF000000"/>
        <rFont val="Yu Gothic"/>
        <family val="0"/>
        <charset val="1"/>
      </rPr>
      <t xml:space="preserve">Day4</t>
    </r>
    <r>
      <rPr>
        <sz val="10"/>
        <color rgb="FF000000"/>
        <rFont val="Yu Gothic"/>
        <family val="2"/>
      </rPr>
      <t xml:space="preserve">だけリンク（コメント欄＋</t>
    </r>
    <r>
      <rPr>
        <sz val="10"/>
        <color rgb="FF000000"/>
        <rFont val="Yu Gothic"/>
        <family val="0"/>
        <charset val="1"/>
      </rPr>
      <t xml:space="preserve">#PR</t>
    </r>
    <r>
      <rPr>
        <sz val="10"/>
        <color rgb="FF000000"/>
        <rFont val="Yu Gothic"/>
        <family val="2"/>
      </rPr>
      <t xml:space="preserve">）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</si>
  <si>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3 </t>
    </r>
    <r>
      <rPr>
        <sz val="10"/>
        <color rgb="FF000000"/>
        <rFont val="Yu Gothic"/>
        <family val="2"/>
      </rPr>
      <t xml:space="preserve">失敗談型で投稿。アタリの</t>
    </r>
    <r>
      <rPr>
        <sz val="10"/>
        <color rgb="FF000000"/>
        <rFont val="Yu Gothic"/>
        <family val="0"/>
        <charset val="1"/>
      </rPr>
      <t xml:space="preserve">Day4</t>
    </r>
    <r>
      <rPr>
        <sz val="10"/>
        <color rgb="FF000000"/>
        <rFont val="Yu Gothic"/>
        <family val="2"/>
      </rPr>
      <t xml:space="preserve">だけリンク（コメント欄＋</t>
    </r>
    <r>
      <rPr>
        <sz val="10"/>
        <color rgb="FF000000"/>
        <rFont val="Yu Gothic"/>
        <family val="0"/>
        <charset val="1"/>
      </rPr>
      <t xml:space="preserve">#PR</t>
    </r>
    <r>
      <rPr>
        <sz val="10"/>
        <color rgb="FF000000"/>
        <rFont val="Yu Gothic"/>
        <family val="2"/>
      </rPr>
      <t xml:space="preserve">）</t>
    </r>
  </si>
  <si>
    <r>
      <rPr>
        <b val="true"/>
        <sz val="10"/>
        <color rgb="FF1F3A5F"/>
        <rFont val="Yu Gothic"/>
        <family val="2"/>
      </rPr>
      <t xml:space="preserve">中間点検：楽天のセール日程を確認し、セール数日前にアタリの投稿を育てる計画を立てる　＋　今日の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本（型</t>
    </r>
    <r>
      <rPr>
        <b val="true"/>
        <sz val="10"/>
        <color rgb="FF1F3A5F"/>
        <rFont val="Yu Gothic"/>
        <family val="0"/>
        <charset val="1"/>
      </rPr>
      <t xml:space="preserve">3 </t>
    </r>
    <r>
      <rPr>
        <b val="true"/>
        <sz val="10"/>
        <color rgb="FF1F3A5F"/>
        <rFont val="Yu Gothic"/>
        <family val="2"/>
      </rPr>
      <t xml:space="preserve">失敗談型）</t>
    </r>
  </si>
  <si>
    <r>
      <rPr>
        <b val="true"/>
        <sz val="10"/>
        <color rgb="FF1F3A5F"/>
        <rFont val="Yu Gothic"/>
        <family val="0"/>
        <charset val="1"/>
      </rPr>
      <t xml:space="preserve">10</t>
    </r>
    <r>
      <rPr>
        <b val="true"/>
        <sz val="10"/>
        <color rgb="FF1F3A5F"/>
        <rFont val="Yu Gothic"/>
        <family val="2"/>
      </rPr>
      <t xml:space="preserve">分＋</t>
    </r>
    <r>
      <rPr>
        <b val="true"/>
        <sz val="10"/>
        <color rgb="FF1F3A5F"/>
        <rFont val="Yu Gothic"/>
        <family val="0"/>
        <charset val="1"/>
      </rPr>
      <t xml:space="preserve">15</t>
    </r>
    <r>
      <rPr>
        <b val="true"/>
        <sz val="10"/>
        <color rgb="FF1F3A5F"/>
        <rFont val="Yu Gothic"/>
        <family val="2"/>
      </rPr>
      <t xml:space="preserve">分</t>
    </r>
  </si>
  <si>
    <r>
      <rPr>
        <b val="true"/>
        <sz val="10"/>
        <color rgb="FF1F3A5F"/>
        <rFont val="Yu Gothic"/>
        <family val="2"/>
      </rPr>
      <t xml:space="preserve">漁場探し</t>
    </r>
    <r>
      <rPr>
        <b val="true"/>
        <sz val="10"/>
        <color rgb="FF1F3A5F"/>
        <rFont val="Yu Gothic"/>
        <family val="0"/>
        <charset val="1"/>
      </rPr>
      <t xml:space="preserve">60</t>
    </r>
    <r>
      <rPr>
        <b val="true"/>
        <sz val="10"/>
        <color rgb="FF1F3A5F"/>
        <rFont val="Yu Gothic"/>
        <family val="2"/>
      </rPr>
      <t xml:space="preserve">日の点検：型別分析で◎の型を</t>
    </r>
    <r>
      <rPr>
        <b val="true"/>
        <sz val="10"/>
        <color rgb="FF1F3A5F"/>
        <rFont val="Yu Gothic"/>
        <family val="0"/>
        <charset val="1"/>
      </rPr>
      <t xml:space="preserve">2</t>
    </r>
    <r>
      <rPr>
        <b val="true"/>
        <sz val="10"/>
        <color rgb="FF1F3A5F"/>
        <rFont val="Yu Gothic"/>
        <family val="2"/>
      </rPr>
      <t xml:space="preserve">つ、◎の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行目パターンを</t>
    </r>
    <r>
      <rPr>
        <b val="true"/>
        <sz val="10"/>
        <color rgb="FF1F3A5F"/>
        <rFont val="Yu Gothic"/>
        <family val="0"/>
        <charset val="1"/>
      </rPr>
      <t xml:space="preserve">2</t>
    </r>
    <r>
      <rPr>
        <b val="true"/>
        <sz val="10"/>
        <color rgb="FF1F3A5F"/>
        <rFont val="Yu Gothic"/>
        <family val="2"/>
      </rPr>
      <t xml:space="preserve">つ特定。魚拓シートでテーマ別アタリ数を確認　＋　今日の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本（型</t>
    </r>
    <r>
      <rPr>
        <b val="true"/>
        <sz val="10"/>
        <color rgb="FF1F3A5F"/>
        <rFont val="Yu Gothic"/>
        <family val="0"/>
        <charset val="1"/>
      </rPr>
      <t xml:space="preserve">4 </t>
    </r>
    <r>
      <rPr>
        <b val="true"/>
        <sz val="10"/>
        <color rgb="FF1F3A5F"/>
        <rFont val="Yu Gothic"/>
        <family val="2"/>
      </rPr>
      <t xml:space="preserve">比べてみた型）</t>
    </r>
  </si>
  <si>
    <t xml:space="preserve">水揚げ（釣果を形にする）</t>
  </si>
  <si>
    <r>
      <rPr>
        <b val="true"/>
        <sz val="10"/>
        <color rgb="FF1F3A5F"/>
        <rFont val="Yu Gothic"/>
        <family val="2"/>
      </rPr>
      <t xml:space="preserve">水揚げ開始：魚拓が</t>
    </r>
    <r>
      <rPr>
        <b val="true"/>
        <sz val="10"/>
        <color rgb="FF1F3A5F"/>
        <rFont val="Yu Gothic"/>
        <family val="0"/>
        <charset val="1"/>
      </rPr>
      <t xml:space="preserve">3</t>
    </r>
    <r>
      <rPr>
        <b val="true"/>
        <sz val="10"/>
        <color rgb="FF1F3A5F"/>
        <rFont val="Yu Gothic"/>
        <family val="2"/>
      </rPr>
      <t xml:space="preserve">本以上のテーマを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つ選ぶ。足りなければ、そのテーマを別の型で書き直して育てる（応用</t>
    </r>
    <r>
      <rPr>
        <b val="true"/>
        <sz val="10"/>
        <color rgb="FF1F3A5F"/>
        <rFont val="Yu Gothic"/>
        <family val="0"/>
        <charset val="1"/>
      </rPr>
      <t xml:space="preserve">E</t>
    </r>
    <r>
      <rPr>
        <b val="true"/>
        <sz val="10"/>
        <color rgb="FF1F3A5F"/>
        <rFont val="Yu Gothic"/>
        <family val="2"/>
      </rPr>
      <t xml:space="preserve">）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</si>
  <si>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1 </t>
    </r>
    <r>
      <rPr>
        <sz val="10"/>
        <color rgb="FF000000"/>
        <rFont val="Yu Gothic"/>
        <family val="2"/>
      </rPr>
      <t xml:space="preserve">場面→工夫型で投稿。魚拓テーマの投稿を優先して育てる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</si>
  <si>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2 </t>
    </r>
    <r>
      <rPr>
        <sz val="10"/>
        <color rgb="FF000000"/>
        <rFont val="Yu Gothic"/>
        <family val="2"/>
      </rPr>
      <t xml:space="preserve">ビフォーアフター型で投稿。魚拓テーマの投稿を優先して育てる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</si>
  <si>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3 </t>
    </r>
    <r>
      <rPr>
        <sz val="10"/>
        <color rgb="FF000000"/>
        <rFont val="Yu Gothic"/>
        <family val="2"/>
      </rPr>
      <t xml:space="preserve">失敗談型で投稿。魚拓テーマの投稿を優先して育てる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</si>
  <si>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4 </t>
    </r>
    <r>
      <rPr>
        <sz val="10"/>
        <color rgb="FF000000"/>
        <rFont val="Yu Gothic"/>
        <family val="2"/>
      </rPr>
      <t xml:space="preserve">比べてみた型で投稿。魚拓テーマの投稿を優先して育てる</t>
    </r>
  </si>
  <si>
    <r>
      <rPr>
        <sz val="10"/>
        <color rgb="FF000000"/>
        <rFont val="Yu Gothic"/>
        <family val="2"/>
      </rPr>
      <t xml:space="preserve">今日の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本：型</t>
    </r>
    <r>
      <rPr>
        <sz val="10"/>
        <color rgb="FF000000"/>
        <rFont val="Yu Gothic"/>
        <family val="0"/>
        <charset val="1"/>
      </rPr>
      <t xml:space="preserve">5 </t>
    </r>
    <r>
      <rPr>
        <sz val="10"/>
        <color rgb="FF000000"/>
        <rFont val="Yu Gothic"/>
        <family val="2"/>
      </rPr>
      <t xml:space="preserve">問いかけ型で投稿。魚拓テーマの投稿を優先して育てる</t>
    </r>
  </si>
  <si>
    <t xml:space="preserve">note</t>
  </si>
  <si>
    <r>
      <rPr>
        <b val="true"/>
        <sz val="10"/>
        <color rgb="FF1F3A5F"/>
        <rFont val="Yu Gothic"/>
        <family val="0"/>
        <charset val="1"/>
      </rPr>
      <t xml:space="preserve">note</t>
    </r>
    <r>
      <rPr>
        <b val="true"/>
        <sz val="10"/>
        <color rgb="FF1F3A5F"/>
        <rFont val="Yu Gothic"/>
        <family val="2"/>
      </rPr>
      <t xml:space="preserve">化の準備：魚拓</t>
    </r>
    <r>
      <rPr>
        <b val="true"/>
        <sz val="10"/>
        <color rgb="FF1F3A5F"/>
        <rFont val="Yu Gothic"/>
        <family val="0"/>
        <charset val="1"/>
      </rPr>
      <t xml:space="preserve">5</t>
    </r>
    <r>
      <rPr>
        <b val="true"/>
        <sz val="10"/>
        <color rgb="FF1F3A5F"/>
        <rFont val="Yu Gothic"/>
        <family val="2"/>
      </rPr>
      <t xml:space="preserve">本（または</t>
    </r>
    <r>
      <rPr>
        <b val="true"/>
        <sz val="10"/>
        <color rgb="FF1F3A5F"/>
        <rFont val="Yu Gothic"/>
        <family val="0"/>
        <charset val="1"/>
      </rPr>
      <t xml:space="preserve">3</t>
    </r>
    <r>
      <rPr>
        <b val="true"/>
        <sz val="10"/>
        <color rgb="FF1F3A5F"/>
        <rFont val="Yu Gothic"/>
        <family val="2"/>
      </rPr>
      <t xml:space="preserve">本）を実践順に並べ、順番・時間・量・つまずきを書き足す</t>
    </r>
  </si>
  <si>
    <r>
      <rPr>
        <b val="true"/>
        <sz val="10"/>
        <color rgb="FF1F3A5F"/>
        <rFont val="Yu Gothic"/>
        <family val="2"/>
      </rPr>
      <t xml:space="preserve">特典① 応用</t>
    </r>
    <r>
      <rPr>
        <b val="true"/>
        <sz val="10"/>
        <color rgb="FF1F3A5F"/>
        <rFont val="Yu Gothic"/>
        <family val="0"/>
        <charset val="1"/>
      </rPr>
      <t xml:space="preserve">H</t>
    </r>
    <r>
      <rPr>
        <b val="true"/>
        <sz val="10"/>
        <color rgb="FF1F3A5F"/>
        <rFont val="Yu Gothic"/>
        <family val="2"/>
      </rPr>
      <t xml:space="preserve">で</t>
    </r>
    <r>
      <rPr>
        <b val="true"/>
        <sz val="10"/>
        <color rgb="FF1F3A5F"/>
        <rFont val="Yu Gothic"/>
        <family val="0"/>
        <charset val="1"/>
      </rPr>
      <t xml:space="preserve">note</t>
    </r>
    <r>
      <rPr>
        <b val="true"/>
        <sz val="10"/>
        <color rgb="FF1F3A5F"/>
        <rFont val="Yu Gothic"/>
        <family val="2"/>
      </rPr>
      <t xml:space="preserve">構成案を作る→無料部分の下書き　＋　今日の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本（型</t>
    </r>
    <r>
      <rPr>
        <b val="true"/>
        <sz val="10"/>
        <color rgb="FF1F3A5F"/>
        <rFont val="Yu Gothic"/>
        <family val="0"/>
        <charset val="1"/>
      </rPr>
      <t xml:space="preserve">5 </t>
    </r>
    <r>
      <rPr>
        <b val="true"/>
        <sz val="10"/>
        <color rgb="FF1F3A5F"/>
        <rFont val="Yu Gothic"/>
        <family val="2"/>
      </rPr>
      <t xml:space="preserve">問いかけ型）</t>
    </r>
  </si>
  <si>
    <r>
      <rPr>
        <b val="true"/>
        <sz val="10"/>
        <color rgb="FF1F3A5F"/>
        <rFont val="Yu Gothic"/>
        <family val="2"/>
      </rPr>
      <t xml:space="preserve">有料部分を見出しごとに下書き→</t>
    </r>
    <r>
      <rPr>
        <b val="true"/>
        <sz val="10"/>
        <color rgb="FF1F3A5F"/>
        <rFont val="Yu Gothic"/>
        <family val="0"/>
        <charset val="1"/>
      </rPr>
      <t xml:space="preserve">AI</t>
    </r>
    <r>
      <rPr>
        <b val="true"/>
        <sz val="10"/>
        <color rgb="FF1F3A5F"/>
        <rFont val="Yu Gothic"/>
        <family val="2"/>
      </rPr>
      <t xml:space="preserve">に編集→体験を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行ずつ足す　＋　今日の</t>
    </r>
    <r>
      <rPr>
        <b val="true"/>
        <sz val="10"/>
        <color rgb="FF1F3A5F"/>
        <rFont val="Yu Gothic"/>
        <family val="0"/>
        <charset val="1"/>
      </rPr>
      <t xml:space="preserve">1</t>
    </r>
    <r>
      <rPr>
        <b val="true"/>
        <sz val="10"/>
        <color rgb="FF1F3A5F"/>
        <rFont val="Yu Gothic"/>
        <family val="2"/>
      </rPr>
      <t xml:space="preserve">本（型</t>
    </r>
    <r>
      <rPr>
        <b val="true"/>
        <sz val="10"/>
        <color rgb="FF1F3A5F"/>
        <rFont val="Yu Gothic"/>
        <family val="0"/>
        <charset val="1"/>
      </rPr>
      <t xml:space="preserve">3 </t>
    </r>
    <r>
      <rPr>
        <b val="true"/>
        <sz val="10"/>
        <color rgb="FF1F3A5F"/>
        <rFont val="Yu Gothic"/>
        <family val="2"/>
      </rPr>
      <t xml:space="preserve">失敗談型）</t>
    </r>
  </si>
  <si>
    <r>
      <rPr>
        <b val="true"/>
        <sz val="10"/>
        <color rgb="FF1F3A5F"/>
        <rFont val="Yu Gothic"/>
        <family val="0"/>
        <charset val="1"/>
      </rPr>
      <t xml:space="preserve">note</t>
    </r>
    <r>
      <rPr>
        <b val="true"/>
        <sz val="10"/>
        <color rgb="FF1F3A5F"/>
        <rFont val="Yu Gothic"/>
        <family val="2"/>
      </rPr>
      <t xml:space="preserve">を出品（</t>
    </r>
    <r>
      <rPr>
        <b val="true"/>
        <sz val="10"/>
        <color rgb="FF1F3A5F"/>
        <rFont val="Yu Gothic"/>
        <family val="0"/>
        <charset val="1"/>
      </rPr>
      <t xml:space="preserve">300</t>
    </r>
    <r>
      <rPr>
        <b val="true"/>
        <sz val="10"/>
        <color rgb="FF1F3A5F"/>
        <rFont val="Yu Gothic"/>
        <family val="2"/>
      </rPr>
      <t xml:space="preserve">〜</t>
    </r>
    <r>
      <rPr>
        <b val="true"/>
        <sz val="10"/>
        <color rgb="FF1F3A5F"/>
        <rFont val="Yu Gothic"/>
        <family val="0"/>
        <charset val="1"/>
      </rPr>
      <t xml:space="preserve">980</t>
    </r>
    <r>
      <rPr>
        <b val="true"/>
        <sz val="10"/>
        <color rgb="FF1F3A5F"/>
        <rFont val="Yu Gothic"/>
        <family val="2"/>
      </rPr>
      <t xml:space="preserve">円）。プロフィール・固定投稿・魚拓投稿のコメント欄に案内を置く</t>
    </r>
  </si>
  <si>
    <r>
      <rPr>
        <b val="true"/>
        <sz val="10"/>
        <color rgb="FF1F3A5F"/>
        <rFont val="Yu Gothic"/>
        <family val="0"/>
        <charset val="1"/>
      </rPr>
      <t xml:space="preserve">90</t>
    </r>
    <r>
      <rPr>
        <b val="true"/>
        <sz val="10"/>
        <color rgb="FF1F3A5F"/>
        <rFont val="Yu Gothic"/>
        <family val="2"/>
      </rPr>
      <t xml:space="preserve">日の水揚げ点検：釣果ノートを見返し、次の</t>
    </r>
    <r>
      <rPr>
        <b val="true"/>
        <sz val="10"/>
        <color rgb="FF1F3A5F"/>
        <rFont val="Yu Gothic"/>
        <family val="0"/>
        <charset val="1"/>
      </rPr>
      <t xml:space="preserve">90</t>
    </r>
    <r>
      <rPr>
        <b val="true"/>
        <sz val="10"/>
        <color rgb="FF1F3A5F"/>
        <rFont val="Yu Gothic"/>
        <family val="2"/>
      </rPr>
      <t xml:space="preserve">日の釣り場と目標を決める。ここまで続けた自分に拍手</t>
    </r>
  </si>
  <si>
    <t xml:space="preserve">マイルストーン</t>
  </si>
  <si>
    <t xml:space="preserve">大きな節目だけのチェックリスト。目標日は出航日から自動計算</t>
  </si>
  <si>
    <t xml:space="preserve">No</t>
  </si>
  <si>
    <t xml:space="preserve">節目</t>
  </si>
  <si>
    <r>
      <rPr>
        <b val="true"/>
        <sz val="10"/>
        <color rgb="FFFFFFFF"/>
        <rFont val="Yu Gothic"/>
        <family val="2"/>
      </rPr>
      <t xml:space="preserve">目標</t>
    </r>
    <r>
      <rPr>
        <b val="true"/>
        <sz val="10"/>
        <color rgb="FFFFFFFF"/>
        <rFont val="Yu Gothic"/>
        <family val="0"/>
        <charset val="1"/>
      </rPr>
      <t xml:space="preserve">Day</t>
    </r>
  </si>
  <si>
    <t xml:space="preserve">目標日</t>
  </si>
  <si>
    <t xml:space="preserve">達成</t>
  </si>
  <si>
    <t xml:space="preserve">達成日（入力）</t>
  </si>
  <si>
    <r>
      <rPr>
        <sz val="10"/>
        <color rgb="FF000000"/>
        <rFont val="Yu Gothic"/>
        <family val="2"/>
      </rPr>
      <t xml:space="preserve">釣り場の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行が決まった</t>
    </r>
  </si>
  <si>
    <r>
      <rPr>
        <sz val="10"/>
        <color rgb="FF000000"/>
        <rFont val="Yu Gothic"/>
        <family val="2"/>
      </rPr>
      <t xml:space="preserve">エサ箱メモを作り、メモが</t>
    </r>
    <r>
      <rPr>
        <sz val="10"/>
        <color rgb="FF000000"/>
        <rFont val="Yu Gothic"/>
        <family val="0"/>
        <charset val="1"/>
      </rPr>
      <t xml:space="preserve">10</t>
    </r>
    <r>
      <rPr>
        <sz val="10"/>
        <color rgb="FF000000"/>
        <rFont val="Yu Gothic"/>
        <family val="2"/>
      </rPr>
      <t xml:space="preserve">個たまった</t>
    </r>
  </si>
  <si>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行プロフィールと</t>
    </r>
    <r>
      <rPr>
        <sz val="10"/>
        <color rgb="FF000000"/>
        <rFont val="Yu Gothic"/>
        <family val="0"/>
        <charset val="1"/>
      </rPr>
      <t xml:space="preserve">#PR</t>
    </r>
    <r>
      <rPr>
        <sz val="10"/>
        <color rgb="FF000000"/>
        <rFont val="Yu Gothic"/>
        <family val="2"/>
      </rPr>
      <t xml:space="preserve">表記を整えた</t>
    </r>
  </si>
  <si>
    <r>
      <rPr>
        <sz val="10"/>
        <color rgb="FF000000"/>
        <rFont val="Yu Gothic"/>
        <family val="2"/>
      </rPr>
      <t xml:space="preserve">楽天アフィリエイト登録・楽天</t>
    </r>
    <r>
      <rPr>
        <sz val="10"/>
        <color rgb="FF000000"/>
        <rFont val="Yu Gothic"/>
        <family val="0"/>
        <charset val="1"/>
      </rPr>
      <t xml:space="preserve">ROOM</t>
    </r>
    <r>
      <rPr>
        <sz val="10"/>
        <color rgb="FF000000"/>
        <rFont val="Yu Gothic"/>
        <family val="2"/>
      </rPr>
      <t xml:space="preserve">開設</t>
    </r>
  </si>
  <si>
    <t xml:space="preserve">初投稿を出した</t>
  </si>
  <si>
    <r>
      <rPr>
        <sz val="10"/>
        <color rgb="FF000000"/>
        <rFont val="Yu Gothic"/>
        <family val="0"/>
        <charset val="1"/>
      </rPr>
      <t xml:space="preserve">7</t>
    </r>
    <r>
      <rPr>
        <sz val="10"/>
        <color rgb="FF000000"/>
        <rFont val="Yu Gothic"/>
        <family val="2"/>
      </rPr>
      <t xml:space="preserve">日連続で投稿した（休みの日を除く）</t>
    </r>
  </si>
  <si>
    <t xml:space="preserve">初めてのアタリ（○）が出た</t>
  </si>
  <si>
    <r>
      <rPr>
        <sz val="10"/>
        <color rgb="FF000000"/>
        <rFont val="Yu Gothic"/>
        <family val="0"/>
        <charset val="1"/>
      </rPr>
      <t xml:space="preserve">7</t>
    </r>
    <r>
      <rPr>
        <sz val="10"/>
        <color rgb="FF000000"/>
        <rFont val="Yu Gothic"/>
        <family val="2"/>
      </rPr>
      <t xml:space="preserve">日育成カレンダーを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本分やりきった</t>
    </r>
  </si>
  <si>
    <t xml:space="preserve">初めてコメント欄にリンクを置いた</t>
  </si>
  <si>
    <t xml:space="preserve">初めてリンクがクリックされた</t>
  </si>
  <si>
    <t xml:space="preserve">楽天アフィリエイトの初報酬</t>
  </si>
  <si>
    <r>
      <rPr>
        <sz val="10"/>
        <color rgb="FF000000"/>
        <rFont val="Yu Gothic"/>
        <family val="2"/>
      </rPr>
      <t xml:space="preserve">効く型を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Yu Gothic"/>
        <family val="2"/>
      </rPr>
      <t xml:space="preserve">つ特定した</t>
    </r>
  </si>
  <si>
    <r>
      <rPr>
        <sz val="10"/>
        <color rgb="FF000000"/>
        <rFont val="Yu Gothic"/>
        <family val="2"/>
      </rPr>
      <t xml:space="preserve">魚拓が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本たまったテーマができた</t>
    </r>
  </si>
  <si>
    <r>
      <rPr>
        <sz val="10"/>
        <color rgb="FF000000"/>
        <rFont val="Yu Gothic"/>
        <family val="2"/>
      </rPr>
      <t xml:space="preserve">魚拓が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Yu Gothic"/>
        <family val="2"/>
      </rPr>
      <t xml:space="preserve">本たまった</t>
    </r>
  </si>
  <si>
    <r>
      <rPr>
        <sz val="10"/>
        <color rgb="FF000000"/>
        <rFont val="Yu Gothic"/>
        <family val="0"/>
        <charset val="1"/>
      </rPr>
      <t xml:space="preserve">note</t>
    </r>
    <r>
      <rPr>
        <sz val="10"/>
        <color rgb="FF000000"/>
        <rFont val="Yu Gothic"/>
        <family val="2"/>
      </rPr>
      <t xml:space="preserve">構成案ができた</t>
    </r>
  </si>
  <si>
    <r>
      <rPr>
        <sz val="10"/>
        <color rgb="FF000000"/>
        <rFont val="Yu Gothic"/>
        <family val="0"/>
        <charset val="1"/>
      </rPr>
      <t xml:space="preserve">note</t>
    </r>
    <r>
      <rPr>
        <sz val="10"/>
        <color rgb="FF000000"/>
        <rFont val="Yu Gothic"/>
        <family val="2"/>
      </rPr>
      <t xml:space="preserve">を出品した</t>
    </r>
  </si>
  <si>
    <r>
      <rPr>
        <sz val="10"/>
        <color rgb="FF000000"/>
        <rFont val="Yu Gothic"/>
        <family val="0"/>
        <charset val="1"/>
      </rPr>
      <t xml:space="preserve">90</t>
    </r>
    <r>
      <rPr>
        <sz val="10"/>
        <color rgb="FF000000"/>
        <rFont val="Yu Gothic"/>
        <family val="2"/>
      </rPr>
      <t xml:space="preserve">日の点検をして次の釣り場を決めた</t>
    </r>
  </si>
  <si>
    <r>
      <rPr>
        <sz val="9"/>
        <color rgb="FF595959"/>
        <rFont val="Yu Gothic"/>
        <family val="2"/>
      </rPr>
      <t xml:space="preserve">※目標日はあくまで目安です。遅れても航海は続きます。量産しない、</t>
    </r>
    <r>
      <rPr>
        <sz val="9"/>
        <color rgb="FF595959"/>
        <rFont val="Yu Gothic"/>
        <family val="0"/>
        <charset val="1"/>
      </rPr>
      <t xml:space="preserve">1</t>
    </r>
    <r>
      <rPr>
        <sz val="9"/>
        <color rgb="FF595959"/>
        <rFont val="Yu Gothic"/>
        <family val="2"/>
      </rPr>
      <t xml:space="preserve">本で釣る。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</si>
</sst>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0%"/>
    <numFmt numFmtId="167" formatCode="mm/d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Yu Gothic"/>
      <family val="2"/>
    </font>
    <font>
      <b val="true"/>
      <sz val="16"/>
      <color rgb="FF1F3A5F"/>
      <name val="Yu Gothic"/>
      <family val="0"/>
      <charset val="1"/>
    </font>
    <font>
      <sz val="10"/>
      <color rgb="FF595959"/>
      <name val="Yu Gothic"/>
      <family val="2"/>
    </font>
    <font>
      <sz val="10"/>
      <color rgb="FF595959"/>
      <name val="Yu Gothic"/>
      <family val="0"/>
      <charset val="1"/>
    </font>
    <font>
      <b val="true"/>
      <sz val="12"/>
      <color rgb="FF1F3A5F"/>
      <name val="Yu Gothic"/>
      <family val="2"/>
    </font>
    <font>
      <b val="true"/>
      <sz val="12"/>
      <color rgb="FF1F3A5F"/>
      <name val="Yu Gothic"/>
      <family val="0"/>
      <charset val="1"/>
    </font>
    <font>
      <sz val="10"/>
      <color rgb="FF000000"/>
      <name val="Yu Gothic"/>
      <family val="0"/>
      <charset val="1"/>
    </font>
    <font>
      <sz val="10"/>
      <color rgb="FF000000"/>
      <name val="Yu Gothic"/>
      <family val="2"/>
    </font>
    <font>
      <b val="true"/>
      <sz val="10"/>
      <color rgb="FFFFFFFF"/>
      <name val="Yu Gothic"/>
      <family val="2"/>
    </font>
    <font>
      <b val="true"/>
      <sz val="10"/>
      <color rgb="FF000000"/>
      <name val="Yu Gothic"/>
      <family val="2"/>
    </font>
    <font>
      <b val="true"/>
      <sz val="10"/>
      <color rgb="FF000000"/>
      <name val="Yu Gothic"/>
      <family val="0"/>
      <charset val="1"/>
    </font>
    <font>
      <b val="true"/>
      <sz val="11"/>
      <color rgb="FF1F3A5F"/>
      <name val="Yu Gothic"/>
      <family val="0"/>
      <charset val="1"/>
    </font>
    <font>
      <sz val="9"/>
      <color rgb="FFC0504D"/>
      <name val="Yu Gothic"/>
      <family val="2"/>
    </font>
    <font>
      <b val="true"/>
      <sz val="10"/>
      <color rgb="FFFFFFFF"/>
      <name val="Yu Gothic"/>
      <family val="0"/>
      <charset val="1"/>
    </font>
    <font>
      <b val="true"/>
      <sz val="10"/>
      <color rgb="FF1F3A5F"/>
      <name val="Yu Gothic"/>
      <family val="0"/>
      <charset val="1"/>
    </font>
    <font>
      <b val="true"/>
      <sz val="10"/>
      <color rgb="FF1F3A5F"/>
      <name val="Yu Gothic"/>
      <family val="2"/>
    </font>
    <font>
      <sz val="9"/>
      <color rgb="FF595959"/>
      <name val="Yu Gothic"/>
      <family val="2"/>
    </font>
    <font>
      <sz val="9"/>
      <color rgb="FF595959"/>
      <name val="Yu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D8A8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4C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8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20.85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</row>
    <row r="4" customFormat="false" ht="16.4" hidden="false" customHeight="false" outlineLevel="0" collapsed="false">
      <c r="A4" s="3" t="s">
        <v>2</v>
      </c>
    </row>
    <row r="5" customFormat="false" ht="14.15" hidden="false" customHeight="false" outlineLevel="0" collapsed="false">
      <c r="A5" s="4" t="s">
        <v>3</v>
      </c>
    </row>
    <row r="6" customFormat="false" ht="14.15" hidden="false" customHeight="false" outlineLevel="0" collapsed="false">
      <c r="A6" s="4" t="s">
        <v>4</v>
      </c>
    </row>
    <row r="7" customFormat="false" ht="14.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3" t="s">
        <v>6</v>
      </c>
    </row>
    <row r="10" customFormat="false" ht="14.15" hidden="false" customHeight="false" outlineLevel="0" collapsed="false">
      <c r="A10" s="5" t="s">
        <v>7</v>
      </c>
    </row>
    <row r="11" customFormat="false" ht="14.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4"/>
    </row>
    <row r="13" customFormat="false" ht="16.4" hidden="false" customHeight="false" outlineLevel="0" collapsed="false">
      <c r="A13" s="6" t="s">
        <v>9</v>
      </c>
    </row>
    <row r="14" customFormat="false" ht="14.15" hidden="false" customHeight="false" outlineLevel="0" collapsed="false">
      <c r="A14" s="5" t="s">
        <v>10</v>
      </c>
    </row>
    <row r="15" customFormat="false" ht="14.15" hidden="false" customHeight="false" outlineLevel="0" collapsed="false">
      <c r="A15" s="5" t="s">
        <v>11</v>
      </c>
    </row>
    <row r="16" customFormat="false" ht="14.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3" t="s">
        <v>13</v>
      </c>
    </row>
    <row r="19" customFormat="false" ht="14.15" hidden="false" customHeight="false" outlineLevel="0" collapsed="false">
      <c r="A19" s="5" t="s">
        <v>14</v>
      </c>
    </row>
    <row r="20" customFormat="false" ht="15" hidden="false" customHeight="false" outlineLevel="0" collapsed="false">
      <c r="A20" s="5" t="s">
        <v>15</v>
      </c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3" t="s">
        <v>16</v>
      </c>
    </row>
    <row r="23" customFormat="false" ht="14.15" hidden="false" customHeight="false" outlineLevel="0" collapsed="false">
      <c r="A23" s="5" t="s">
        <v>17</v>
      </c>
    </row>
    <row r="24" customFormat="false" ht="14.15" hidden="false" customHeight="false" outlineLevel="0" collapsed="false">
      <c r="A24" s="5" t="s">
        <v>18</v>
      </c>
    </row>
    <row r="25" customFormat="false" ht="14.15" hidden="false" customHeight="false" outlineLevel="0" collapsed="false">
      <c r="A25" s="5" t="s">
        <v>19</v>
      </c>
    </row>
    <row r="26" customFormat="false" ht="15" hidden="false" customHeight="false" outlineLevel="0" collapsed="false">
      <c r="A26" s="4"/>
    </row>
    <row r="27" customFormat="false" ht="15" hidden="false" customHeight="false" outlineLevel="0" collapsed="false">
      <c r="A27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7" t="s">
        <v>23</v>
      </c>
      <c r="B4" s="7" t="s">
        <v>24</v>
      </c>
    </row>
    <row r="5" customFormat="false" ht="15" hidden="false" customHeight="false" outlineLevel="0" collapsed="false">
      <c r="A5" s="8" t="s">
        <v>25</v>
      </c>
      <c r="B5" s="9" t="n">
        <f aca="true">TODAY()</f>
        <v>46299</v>
      </c>
    </row>
    <row r="6" customFormat="false" ht="15" hidden="false" customHeight="false" outlineLevel="0" collapsed="false">
      <c r="A6" s="8" t="s">
        <v>26</v>
      </c>
      <c r="B6" s="8" t="str">
        <f aca="false">IF(B5&lt;航海図!C3,"出航前（あと"&amp;(航海図!C3-B5)&amp;"日）",IF(B5-航海図!C3+1&gt;90,"航海終了！お疲れさまでした","Day"&amp;(B5-航海図!C3+1)))</f>
        <v>出航前（あと1日）</v>
      </c>
    </row>
    <row r="7" customFormat="false" ht="15" hidden="false" customHeight="false" outlineLevel="0" collapsed="false">
      <c r="A7" s="8" t="s">
        <v>27</v>
      </c>
      <c r="B7" s="8" t="str">
        <f aca="false">IF(B5&lt;航海図!C3,"出航前：本編を読み、Day1の準備（釣り場の1行）を考えておく",IF(B5-航海図!C3+1&gt;90,"次の90日の釣り場を決めましょう",INDEX(航海図!F6:F95,B5-航海図!C3+1)))</f>
        <v>出航前：本編を読み、Day1の準備（釣り場の1行）を考えておく</v>
      </c>
    </row>
    <row r="8" customFormat="false" ht="15" hidden="false" customHeight="false" outlineLevel="0" collapsed="false">
      <c r="A8" s="8" t="s">
        <v>28</v>
      </c>
      <c r="B8" s="10" t="n">
        <f aca="false">COUNTIF(航海図!H6:H95,"✓")/90</f>
        <v>0</v>
      </c>
    </row>
    <row r="9" customFormat="false" ht="15" hidden="false" customHeight="false" outlineLevel="0" collapsed="false">
      <c r="A9" s="8" t="s">
        <v>29</v>
      </c>
      <c r="B9" s="10" t="n">
        <f aca="false">COUNTIF(航海図!H6:H35,"✓")/30</f>
        <v>0</v>
      </c>
    </row>
    <row r="10" customFormat="false" ht="15" hidden="false" customHeight="false" outlineLevel="0" collapsed="false">
      <c r="A10" s="8" t="s">
        <v>30</v>
      </c>
      <c r="B10" s="10" t="n">
        <f aca="false">COUNTIF(航海図!H36:H65,"✓")/30</f>
        <v>0</v>
      </c>
    </row>
    <row r="11" customFormat="false" ht="15" hidden="false" customHeight="false" outlineLevel="0" collapsed="false">
      <c r="A11" s="8" t="s">
        <v>31</v>
      </c>
      <c r="B11" s="10" t="n">
        <f aca="false">COUNTIF(航海図!H66:H95,"✓")/30</f>
        <v>0</v>
      </c>
    </row>
    <row r="12" customFormat="false" ht="15" hidden="false" customHeight="false" outlineLevel="0" collapsed="false">
      <c r="A12" s="8" t="s">
        <v>32</v>
      </c>
      <c r="B12" s="8" t="str">
        <f aca="false">"できた日："&amp;COUNTIF(航海図!H6:H95,"✓")&amp;"日"</f>
        <v>できた日：0日</v>
      </c>
    </row>
  </sheetData>
  <conditionalFormatting sqref="B8:B11">
    <cfRule type="dataBar" priority="2">
      <dataBar showValue="1" minLength="10" maxLength="90">
        <cfvo type="num" val="0"/>
        <cfvo type="num" val="1"/>
        <color rgb="FFF4A261"/>
      </dataBar>
      <extLst>
        <ext xmlns:x14="http://schemas.microsoft.com/office/spreadsheetml/2009/9/main" uri="{B025F937-C7B1-47D3-B67F-A62EFF666E3E}">
          <x14:id>{7273C0BB-DDD1-422B-9F42-6F5410DE6DD9}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73C0BB-DDD1-422B-9F42-6F5410DE6DD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4A261"/>
              <x14:axisColor rgb="FF000000"/>
            </x14:dataBar>
          </x14:cfRule>
          <xm:sqref>B8:B11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6" min="6" style="0" width="78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9" min="9" style="0" width="24"/>
  </cols>
  <sheetData>
    <row r="1" customFormat="false" ht="20.85" hidden="false" customHeight="false" outlineLevel="0" collapsed="false">
      <c r="A1" s="1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12" t="s">
        <v>35</v>
      </c>
      <c r="C3" s="13" t="n">
        <f aca="false">DATE(2026,10,5)</f>
        <v>46300</v>
      </c>
      <c r="E3" s="14" t="s">
        <v>36</v>
      </c>
    </row>
    <row r="5" customFormat="false" ht="15" hidden="false" customHeight="false" outlineLevel="0" collapsed="false">
      <c r="A5" s="15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27</v>
      </c>
      <c r="G5" s="7" t="s">
        <v>42</v>
      </c>
      <c r="H5" s="7" t="s">
        <v>43</v>
      </c>
      <c r="I5" s="7" t="s">
        <v>44</v>
      </c>
    </row>
    <row r="6" customFormat="false" ht="15" hidden="false" customHeight="false" outlineLevel="0" collapsed="false">
      <c r="A6" s="16" t="n">
        <v>1</v>
      </c>
      <c r="B6" s="17" t="n">
        <f aca="false">$C$3+A6-1</f>
        <v>46300</v>
      </c>
      <c r="C6" s="16" t="str">
        <f aca="false">CHOOSE(WEEKDAY(B6),"日","月","火","水","木","金","土")</f>
        <v>月</v>
      </c>
      <c r="D6" s="18" t="s">
        <v>45</v>
      </c>
      <c r="E6" s="19" t="s">
        <v>46</v>
      </c>
      <c r="F6" s="18" t="s">
        <v>47</v>
      </c>
      <c r="G6" s="16" t="s">
        <v>48</v>
      </c>
      <c r="H6" s="20"/>
      <c r="I6" s="21"/>
    </row>
    <row r="7" customFormat="false" ht="15" hidden="false" customHeight="false" outlineLevel="0" collapsed="false">
      <c r="A7" s="16" t="n">
        <v>2</v>
      </c>
      <c r="B7" s="17" t="n">
        <f aca="false">$C$3+A7-1</f>
        <v>46301</v>
      </c>
      <c r="C7" s="16" t="str">
        <f aca="false">CHOOSE(WEEKDAY(B7),"日","月","火","水","木","金","土")</f>
        <v>火</v>
      </c>
      <c r="D7" s="18" t="s">
        <v>45</v>
      </c>
      <c r="E7" s="19" t="s">
        <v>46</v>
      </c>
      <c r="F7" s="18" t="s">
        <v>49</v>
      </c>
      <c r="G7" s="16" t="s">
        <v>48</v>
      </c>
      <c r="H7" s="20"/>
      <c r="I7" s="21"/>
    </row>
    <row r="8" customFormat="false" ht="15" hidden="false" customHeight="false" outlineLevel="0" collapsed="false">
      <c r="A8" s="16" t="n">
        <v>3</v>
      </c>
      <c r="B8" s="17" t="n">
        <f aca="false">$C$3+A8-1</f>
        <v>46302</v>
      </c>
      <c r="C8" s="16" t="str">
        <f aca="false">CHOOSE(WEEKDAY(B8),"日","月","火","水","木","金","土")</f>
        <v>水</v>
      </c>
      <c r="D8" s="18" t="s">
        <v>45</v>
      </c>
      <c r="E8" s="19" t="s">
        <v>46</v>
      </c>
      <c r="F8" s="18" t="s">
        <v>50</v>
      </c>
      <c r="G8" s="16" t="s">
        <v>48</v>
      </c>
      <c r="H8" s="20"/>
      <c r="I8" s="21"/>
    </row>
    <row r="9" customFormat="false" ht="15" hidden="false" customHeight="false" outlineLevel="0" collapsed="false">
      <c r="A9" s="16" t="n">
        <v>4</v>
      </c>
      <c r="B9" s="17" t="n">
        <f aca="false">$C$3+A9-1</f>
        <v>46303</v>
      </c>
      <c r="C9" s="16" t="str">
        <f aca="false">CHOOSE(WEEKDAY(B9),"日","月","火","水","木","金","土")</f>
        <v>木</v>
      </c>
      <c r="D9" s="18" t="s">
        <v>45</v>
      </c>
      <c r="E9" s="19" t="s">
        <v>51</v>
      </c>
      <c r="F9" s="18" t="s">
        <v>52</v>
      </c>
      <c r="G9" s="16" t="s">
        <v>53</v>
      </c>
      <c r="H9" s="20"/>
      <c r="I9" s="21"/>
    </row>
    <row r="10" customFormat="false" ht="15" hidden="false" customHeight="false" outlineLevel="0" collapsed="false">
      <c r="A10" s="22" t="n">
        <v>5</v>
      </c>
      <c r="B10" s="23" t="n">
        <f aca="false">$C$3+A10-1</f>
        <v>46304</v>
      </c>
      <c r="C10" s="22" t="str">
        <f aca="false">CHOOSE(WEEKDAY(B10),"日","月","火","水","木","金","土")</f>
        <v>金</v>
      </c>
      <c r="D10" s="8" t="s">
        <v>45</v>
      </c>
      <c r="E10" s="24" t="s">
        <v>51</v>
      </c>
      <c r="F10" s="8" t="s">
        <v>54</v>
      </c>
      <c r="G10" s="22" t="s">
        <v>55</v>
      </c>
      <c r="H10" s="20"/>
      <c r="I10" s="21"/>
    </row>
    <row r="11" customFormat="false" ht="15" hidden="false" customHeight="false" outlineLevel="0" collapsed="false">
      <c r="A11" s="22" t="n">
        <v>6</v>
      </c>
      <c r="B11" s="23" t="n">
        <f aca="false">$C$3+A11-1</f>
        <v>46305</v>
      </c>
      <c r="C11" s="22" t="str">
        <f aca="false">CHOOSE(WEEKDAY(B11),"日","月","火","水","木","金","土")</f>
        <v>土</v>
      </c>
      <c r="D11" s="8" t="s">
        <v>45</v>
      </c>
      <c r="E11" s="24" t="s">
        <v>56</v>
      </c>
      <c r="F11" s="8" t="s">
        <v>57</v>
      </c>
      <c r="G11" s="22" t="s">
        <v>58</v>
      </c>
      <c r="H11" s="20"/>
      <c r="I11" s="21"/>
    </row>
    <row r="12" customFormat="false" ht="15" hidden="false" customHeight="false" outlineLevel="0" collapsed="false">
      <c r="A12" s="16" t="n">
        <v>7</v>
      </c>
      <c r="B12" s="17" t="n">
        <f aca="false">$C$3+A12-1</f>
        <v>46306</v>
      </c>
      <c r="C12" s="16" t="str">
        <f aca="false">CHOOSE(WEEKDAY(B12),"日","月","火","水","木","金","土")</f>
        <v>日</v>
      </c>
      <c r="D12" s="18" t="s">
        <v>45</v>
      </c>
      <c r="E12" s="19" t="s">
        <v>59</v>
      </c>
      <c r="F12" s="18" t="s">
        <v>60</v>
      </c>
      <c r="G12" s="16" t="s">
        <v>61</v>
      </c>
      <c r="H12" s="20"/>
      <c r="I12" s="21"/>
    </row>
    <row r="13" customFormat="false" ht="15" hidden="false" customHeight="false" outlineLevel="0" collapsed="false">
      <c r="A13" s="22" t="n">
        <v>8</v>
      </c>
      <c r="B13" s="23" t="n">
        <f aca="false">$C$3+A13-1</f>
        <v>46307</v>
      </c>
      <c r="C13" s="22" t="str">
        <f aca="false">CHOOSE(WEEKDAY(B13),"日","月","火","水","木","金","土")</f>
        <v>月</v>
      </c>
      <c r="D13" s="8" t="s">
        <v>45</v>
      </c>
      <c r="E13" s="24" t="s">
        <v>51</v>
      </c>
      <c r="F13" s="8" t="s">
        <v>62</v>
      </c>
      <c r="G13" s="22" t="s">
        <v>55</v>
      </c>
      <c r="H13" s="20"/>
      <c r="I13" s="21"/>
    </row>
    <row r="14" customFormat="false" ht="15" hidden="false" customHeight="false" outlineLevel="0" collapsed="false">
      <c r="A14" s="22" t="n">
        <v>9</v>
      </c>
      <c r="B14" s="23" t="n">
        <f aca="false">$C$3+A14-1</f>
        <v>46308</v>
      </c>
      <c r="C14" s="22" t="str">
        <f aca="false">CHOOSE(WEEKDAY(B14),"日","月","火","水","木","金","土")</f>
        <v>火</v>
      </c>
      <c r="D14" s="8" t="s">
        <v>45</v>
      </c>
      <c r="E14" s="24" t="s">
        <v>51</v>
      </c>
      <c r="F14" s="8" t="s">
        <v>63</v>
      </c>
      <c r="G14" s="22" t="s">
        <v>55</v>
      </c>
      <c r="H14" s="20"/>
      <c r="I14" s="21"/>
    </row>
    <row r="15" customFormat="false" ht="15" hidden="false" customHeight="false" outlineLevel="0" collapsed="false">
      <c r="A15" s="22" t="n">
        <v>10</v>
      </c>
      <c r="B15" s="23" t="n">
        <f aca="false">$C$3+A15-1</f>
        <v>46309</v>
      </c>
      <c r="C15" s="22" t="str">
        <f aca="false">CHOOSE(WEEKDAY(B15),"日","月","火","水","木","金","土")</f>
        <v>水</v>
      </c>
      <c r="D15" s="8" t="s">
        <v>45</v>
      </c>
      <c r="E15" s="24" t="s">
        <v>51</v>
      </c>
      <c r="F15" s="8" t="s">
        <v>64</v>
      </c>
      <c r="G15" s="22" t="s">
        <v>55</v>
      </c>
      <c r="H15" s="20"/>
      <c r="I15" s="21"/>
    </row>
    <row r="16" customFormat="false" ht="26.85" hidden="false" customHeight="false" outlineLevel="0" collapsed="false">
      <c r="A16" s="16" t="n">
        <v>11</v>
      </c>
      <c r="B16" s="17" t="n">
        <f aca="false">$C$3+A16-1</f>
        <v>46310</v>
      </c>
      <c r="C16" s="16" t="str">
        <f aca="false">CHOOSE(WEEKDAY(B16),"日","月","火","水","木","金","土")</f>
        <v>木</v>
      </c>
      <c r="D16" s="18" t="s">
        <v>45</v>
      </c>
      <c r="E16" s="19" t="s">
        <v>65</v>
      </c>
      <c r="F16" s="18" t="s">
        <v>66</v>
      </c>
      <c r="G16" s="16" t="s">
        <v>67</v>
      </c>
      <c r="H16" s="20"/>
      <c r="I16" s="21"/>
    </row>
    <row r="17" customFormat="false" ht="15" hidden="false" customHeight="false" outlineLevel="0" collapsed="false">
      <c r="A17" s="22" t="n">
        <v>12</v>
      </c>
      <c r="B17" s="23" t="n">
        <f aca="false">$C$3+A17-1</f>
        <v>46311</v>
      </c>
      <c r="C17" s="22" t="str">
        <f aca="false">CHOOSE(WEEKDAY(B17),"日","月","火","水","木","金","土")</f>
        <v>金</v>
      </c>
      <c r="D17" s="8" t="s">
        <v>45</v>
      </c>
      <c r="E17" s="24" t="s">
        <v>51</v>
      </c>
      <c r="F17" s="8" t="s">
        <v>54</v>
      </c>
      <c r="G17" s="22" t="s">
        <v>55</v>
      </c>
      <c r="H17" s="20"/>
      <c r="I17" s="21"/>
    </row>
    <row r="18" customFormat="false" ht="15" hidden="false" customHeight="false" outlineLevel="0" collapsed="false">
      <c r="A18" s="22" t="n">
        <v>13</v>
      </c>
      <c r="B18" s="23" t="n">
        <f aca="false">$C$3+A18-1</f>
        <v>46312</v>
      </c>
      <c r="C18" s="22" t="str">
        <f aca="false">CHOOSE(WEEKDAY(B18),"日","月","火","水","木","金","土")</f>
        <v>土</v>
      </c>
      <c r="D18" s="8" t="s">
        <v>45</v>
      </c>
      <c r="E18" s="24" t="s">
        <v>56</v>
      </c>
      <c r="F18" s="8" t="s">
        <v>57</v>
      </c>
      <c r="G18" s="22" t="s">
        <v>58</v>
      </c>
      <c r="H18" s="20"/>
      <c r="I18" s="21"/>
    </row>
    <row r="19" customFormat="false" ht="15" hidden="false" customHeight="false" outlineLevel="0" collapsed="false">
      <c r="A19" s="16" t="n">
        <v>14</v>
      </c>
      <c r="B19" s="17" t="n">
        <f aca="false">$C$3+A19-1</f>
        <v>46313</v>
      </c>
      <c r="C19" s="16" t="str">
        <f aca="false">CHOOSE(WEEKDAY(B19),"日","月","火","水","木","金","土")</f>
        <v>日</v>
      </c>
      <c r="D19" s="18" t="s">
        <v>45</v>
      </c>
      <c r="E19" s="19" t="s">
        <v>59</v>
      </c>
      <c r="F19" s="25" t="s">
        <v>68</v>
      </c>
      <c r="G19" s="16" t="s">
        <v>61</v>
      </c>
      <c r="H19" s="20"/>
      <c r="I19" s="21"/>
    </row>
    <row r="20" customFormat="false" ht="15" hidden="false" customHeight="false" outlineLevel="0" collapsed="false">
      <c r="A20" s="16" t="n">
        <v>15</v>
      </c>
      <c r="B20" s="17" t="n">
        <f aca="false">$C$3+A20-1</f>
        <v>46314</v>
      </c>
      <c r="C20" s="16" t="str">
        <f aca="false">CHOOSE(WEEKDAY(B20),"日","月","火","水","木","金","土")</f>
        <v>月</v>
      </c>
      <c r="D20" s="18" t="s">
        <v>45</v>
      </c>
      <c r="E20" s="19" t="s">
        <v>51</v>
      </c>
      <c r="F20" s="25" t="s">
        <v>69</v>
      </c>
      <c r="G20" s="16" t="s">
        <v>70</v>
      </c>
      <c r="H20" s="20"/>
      <c r="I20" s="21"/>
    </row>
    <row r="21" customFormat="false" ht="15" hidden="false" customHeight="false" outlineLevel="0" collapsed="false">
      <c r="A21" s="22" t="n">
        <v>16</v>
      </c>
      <c r="B21" s="23" t="n">
        <f aca="false">$C$3+A21-1</f>
        <v>46315</v>
      </c>
      <c r="C21" s="22" t="str">
        <f aca="false">CHOOSE(WEEKDAY(B21),"日","月","火","水","木","金","土")</f>
        <v>火</v>
      </c>
      <c r="D21" s="8" t="s">
        <v>45</v>
      </c>
      <c r="E21" s="24" t="s">
        <v>51</v>
      </c>
      <c r="F21" s="8" t="s">
        <v>71</v>
      </c>
      <c r="G21" s="22" t="s">
        <v>55</v>
      </c>
      <c r="H21" s="20"/>
      <c r="I21" s="21"/>
    </row>
    <row r="22" customFormat="false" ht="15" hidden="false" customHeight="false" outlineLevel="0" collapsed="false">
      <c r="A22" s="22" t="n">
        <v>17</v>
      </c>
      <c r="B22" s="23" t="n">
        <f aca="false">$C$3+A22-1</f>
        <v>46316</v>
      </c>
      <c r="C22" s="22" t="str">
        <f aca="false">CHOOSE(WEEKDAY(B22),"日","月","火","水","木","金","土")</f>
        <v>水</v>
      </c>
      <c r="D22" s="8" t="s">
        <v>45</v>
      </c>
      <c r="E22" s="24" t="s">
        <v>51</v>
      </c>
      <c r="F22" s="8" t="s">
        <v>72</v>
      </c>
      <c r="G22" s="22" t="s">
        <v>55</v>
      </c>
      <c r="H22" s="20"/>
      <c r="I22" s="21"/>
    </row>
    <row r="23" customFormat="false" ht="15" hidden="false" customHeight="false" outlineLevel="0" collapsed="false">
      <c r="A23" s="22" t="n">
        <v>18</v>
      </c>
      <c r="B23" s="23" t="n">
        <f aca="false">$C$3+A23-1</f>
        <v>46317</v>
      </c>
      <c r="C23" s="22" t="str">
        <f aca="false">CHOOSE(WEEKDAY(B23),"日","月","火","水","木","金","土")</f>
        <v>木</v>
      </c>
      <c r="D23" s="8" t="s">
        <v>45</v>
      </c>
      <c r="E23" s="24" t="s">
        <v>51</v>
      </c>
      <c r="F23" s="8" t="s">
        <v>73</v>
      </c>
      <c r="G23" s="22" t="s">
        <v>55</v>
      </c>
      <c r="H23" s="20"/>
      <c r="I23" s="21"/>
    </row>
    <row r="24" customFormat="false" ht="15" hidden="false" customHeight="false" outlineLevel="0" collapsed="false">
      <c r="A24" s="22" t="n">
        <v>19</v>
      </c>
      <c r="B24" s="23" t="n">
        <f aca="false">$C$3+A24-1</f>
        <v>46318</v>
      </c>
      <c r="C24" s="22" t="str">
        <f aca="false">CHOOSE(WEEKDAY(B24),"日","月","火","水","木","金","土")</f>
        <v>金</v>
      </c>
      <c r="D24" s="8" t="s">
        <v>45</v>
      </c>
      <c r="E24" s="24" t="s">
        <v>51</v>
      </c>
      <c r="F24" s="8" t="s">
        <v>74</v>
      </c>
      <c r="G24" s="22" t="s">
        <v>55</v>
      </c>
      <c r="H24" s="20"/>
      <c r="I24" s="21"/>
    </row>
    <row r="25" customFormat="false" ht="15" hidden="false" customHeight="false" outlineLevel="0" collapsed="false">
      <c r="A25" s="22" t="n">
        <v>20</v>
      </c>
      <c r="B25" s="23" t="n">
        <f aca="false">$C$3+A25-1</f>
        <v>46319</v>
      </c>
      <c r="C25" s="22" t="str">
        <f aca="false">CHOOSE(WEEKDAY(B25),"日","月","火","水","木","金","土")</f>
        <v>土</v>
      </c>
      <c r="D25" s="8" t="s">
        <v>45</v>
      </c>
      <c r="E25" s="24" t="s">
        <v>56</v>
      </c>
      <c r="F25" s="8" t="s">
        <v>57</v>
      </c>
      <c r="G25" s="22" t="s">
        <v>58</v>
      </c>
      <c r="H25" s="20"/>
      <c r="I25" s="21"/>
    </row>
    <row r="26" customFormat="false" ht="15" hidden="false" customHeight="false" outlineLevel="0" collapsed="false">
      <c r="A26" s="16" t="n">
        <v>21</v>
      </c>
      <c r="B26" s="17" t="n">
        <f aca="false">$C$3+A26-1</f>
        <v>46320</v>
      </c>
      <c r="C26" s="16" t="str">
        <f aca="false">CHOOSE(WEEKDAY(B26),"日","月","火","水","木","金","土")</f>
        <v>日</v>
      </c>
      <c r="D26" s="18" t="s">
        <v>45</v>
      </c>
      <c r="E26" s="19" t="s">
        <v>59</v>
      </c>
      <c r="F26" s="25" t="s">
        <v>75</v>
      </c>
      <c r="G26" s="16" t="s">
        <v>61</v>
      </c>
      <c r="H26" s="20"/>
      <c r="I26" s="21"/>
    </row>
    <row r="27" customFormat="false" ht="15" hidden="false" customHeight="false" outlineLevel="0" collapsed="false">
      <c r="A27" s="22" t="n">
        <v>22</v>
      </c>
      <c r="B27" s="23" t="n">
        <f aca="false">$C$3+A27-1</f>
        <v>46321</v>
      </c>
      <c r="C27" s="22" t="str">
        <f aca="false">CHOOSE(WEEKDAY(B27),"日","月","火","水","木","金","土")</f>
        <v>月</v>
      </c>
      <c r="D27" s="8" t="s">
        <v>45</v>
      </c>
      <c r="E27" s="24" t="s">
        <v>51</v>
      </c>
      <c r="F27" s="8" t="s">
        <v>76</v>
      </c>
      <c r="G27" s="22" t="s">
        <v>55</v>
      </c>
      <c r="H27" s="20"/>
      <c r="I27" s="21"/>
    </row>
    <row r="28" customFormat="false" ht="15" hidden="false" customHeight="false" outlineLevel="0" collapsed="false">
      <c r="A28" s="22" t="n">
        <v>23</v>
      </c>
      <c r="B28" s="23" t="n">
        <f aca="false">$C$3+A28-1</f>
        <v>46322</v>
      </c>
      <c r="C28" s="22" t="str">
        <f aca="false">CHOOSE(WEEKDAY(B28),"日","月","火","水","木","金","土")</f>
        <v>火</v>
      </c>
      <c r="D28" s="8" t="s">
        <v>45</v>
      </c>
      <c r="E28" s="24" t="s">
        <v>51</v>
      </c>
      <c r="F28" s="8" t="s">
        <v>71</v>
      </c>
      <c r="G28" s="22" t="s">
        <v>55</v>
      </c>
      <c r="H28" s="20"/>
      <c r="I28" s="21"/>
    </row>
    <row r="29" customFormat="false" ht="15" hidden="false" customHeight="false" outlineLevel="0" collapsed="false">
      <c r="A29" s="22" t="n">
        <v>24</v>
      </c>
      <c r="B29" s="23" t="n">
        <f aca="false">$C$3+A29-1</f>
        <v>46323</v>
      </c>
      <c r="C29" s="22" t="str">
        <f aca="false">CHOOSE(WEEKDAY(B29),"日","月","火","水","木","金","土")</f>
        <v>水</v>
      </c>
      <c r="D29" s="8" t="s">
        <v>45</v>
      </c>
      <c r="E29" s="24" t="s">
        <v>51</v>
      </c>
      <c r="F29" s="8" t="s">
        <v>72</v>
      </c>
      <c r="G29" s="22" t="s">
        <v>55</v>
      </c>
      <c r="H29" s="20"/>
      <c r="I29" s="21"/>
    </row>
    <row r="30" customFormat="false" ht="15" hidden="false" customHeight="false" outlineLevel="0" collapsed="false">
      <c r="A30" s="22" t="n">
        <v>25</v>
      </c>
      <c r="B30" s="23" t="n">
        <f aca="false">$C$3+A30-1</f>
        <v>46324</v>
      </c>
      <c r="C30" s="22" t="str">
        <f aca="false">CHOOSE(WEEKDAY(B30),"日","月","火","水","木","金","土")</f>
        <v>木</v>
      </c>
      <c r="D30" s="8" t="s">
        <v>45</v>
      </c>
      <c r="E30" s="24" t="s">
        <v>51</v>
      </c>
      <c r="F30" s="8" t="s">
        <v>73</v>
      </c>
      <c r="G30" s="22" t="s">
        <v>55</v>
      </c>
      <c r="H30" s="20"/>
      <c r="I30" s="21"/>
    </row>
    <row r="31" customFormat="false" ht="15" hidden="false" customHeight="false" outlineLevel="0" collapsed="false">
      <c r="A31" s="22" t="n">
        <v>26</v>
      </c>
      <c r="B31" s="23" t="n">
        <f aca="false">$C$3+A31-1</f>
        <v>46325</v>
      </c>
      <c r="C31" s="22" t="str">
        <f aca="false">CHOOSE(WEEKDAY(B31),"日","月","火","水","木","金","土")</f>
        <v>金</v>
      </c>
      <c r="D31" s="8" t="s">
        <v>45</v>
      </c>
      <c r="E31" s="24" t="s">
        <v>51</v>
      </c>
      <c r="F31" s="8" t="s">
        <v>74</v>
      </c>
      <c r="G31" s="22" t="s">
        <v>55</v>
      </c>
      <c r="H31" s="20"/>
      <c r="I31" s="21"/>
    </row>
    <row r="32" customFormat="false" ht="15" hidden="false" customHeight="false" outlineLevel="0" collapsed="false">
      <c r="A32" s="22" t="n">
        <v>27</v>
      </c>
      <c r="B32" s="23" t="n">
        <f aca="false">$C$3+A32-1</f>
        <v>46326</v>
      </c>
      <c r="C32" s="22" t="str">
        <f aca="false">CHOOSE(WEEKDAY(B32),"日","月","火","水","木","金","土")</f>
        <v>土</v>
      </c>
      <c r="D32" s="8" t="s">
        <v>45</v>
      </c>
      <c r="E32" s="24" t="s">
        <v>56</v>
      </c>
      <c r="F32" s="8" t="s">
        <v>57</v>
      </c>
      <c r="G32" s="22" t="s">
        <v>58</v>
      </c>
      <c r="H32" s="20"/>
      <c r="I32" s="21"/>
    </row>
    <row r="33" customFormat="false" ht="15" hidden="false" customHeight="false" outlineLevel="0" collapsed="false">
      <c r="A33" s="22" t="n">
        <v>28</v>
      </c>
      <c r="B33" s="23" t="n">
        <f aca="false">$C$3+A33-1</f>
        <v>46327</v>
      </c>
      <c r="C33" s="22" t="str">
        <f aca="false">CHOOSE(WEEKDAY(B33),"日","月","火","水","木","金","土")</f>
        <v>日</v>
      </c>
      <c r="D33" s="8" t="s">
        <v>45</v>
      </c>
      <c r="E33" s="24" t="s">
        <v>59</v>
      </c>
      <c r="F33" s="8" t="s">
        <v>77</v>
      </c>
      <c r="G33" s="22" t="s">
        <v>78</v>
      </c>
      <c r="H33" s="20"/>
      <c r="I33" s="21"/>
    </row>
    <row r="34" customFormat="false" ht="15" hidden="false" customHeight="false" outlineLevel="0" collapsed="false">
      <c r="A34" s="22" t="n">
        <v>29</v>
      </c>
      <c r="B34" s="23" t="n">
        <f aca="false">$C$3+A34-1</f>
        <v>46328</v>
      </c>
      <c r="C34" s="22" t="str">
        <f aca="false">CHOOSE(WEEKDAY(B34),"日","月","火","水","木","金","土")</f>
        <v>月</v>
      </c>
      <c r="D34" s="8" t="s">
        <v>45</v>
      </c>
      <c r="E34" s="24" t="s">
        <v>51</v>
      </c>
      <c r="F34" s="8" t="s">
        <v>76</v>
      </c>
      <c r="G34" s="22" t="s">
        <v>55</v>
      </c>
      <c r="H34" s="20"/>
      <c r="I34" s="21"/>
    </row>
    <row r="35" customFormat="false" ht="26.85" hidden="false" customHeight="false" outlineLevel="0" collapsed="false">
      <c r="A35" s="16" t="n">
        <v>30</v>
      </c>
      <c r="B35" s="17" t="n">
        <f aca="false">$C$3+A35-1</f>
        <v>46329</v>
      </c>
      <c r="C35" s="16" t="str">
        <f aca="false">CHOOSE(WEEKDAY(B35),"日","月","火","水","木","金","土")</f>
        <v>火</v>
      </c>
      <c r="D35" s="18" t="s">
        <v>45</v>
      </c>
      <c r="E35" s="19" t="s">
        <v>65</v>
      </c>
      <c r="F35" s="18" t="s">
        <v>79</v>
      </c>
      <c r="G35" s="16" t="s">
        <v>80</v>
      </c>
      <c r="H35" s="20"/>
      <c r="I35" s="21"/>
    </row>
    <row r="36" customFormat="false" ht="15" hidden="false" customHeight="false" outlineLevel="0" collapsed="false">
      <c r="A36" s="16" t="n">
        <v>31</v>
      </c>
      <c r="B36" s="17" t="n">
        <f aca="false">$C$3+A36-1</f>
        <v>46330</v>
      </c>
      <c r="C36" s="16" t="str">
        <f aca="false">CHOOSE(WEEKDAY(B36),"日","月","火","水","木","金","土")</f>
        <v>水</v>
      </c>
      <c r="D36" s="18" t="s">
        <v>81</v>
      </c>
      <c r="E36" s="19" t="s">
        <v>51</v>
      </c>
      <c r="F36" s="18" t="s">
        <v>82</v>
      </c>
      <c r="G36" s="16" t="s">
        <v>70</v>
      </c>
      <c r="H36" s="20"/>
      <c r="I36" s="21"/>
    </row>
    <row r="37" customFormat="false" ht="15" hidden="false" customHeight="false" outlineLevel="0" collapsed="false">
      <c r="A37" s="22" t="n">
        <v>32</v>
      </c>
      <c r="B37" s="23" t="n">
        <f aca="false">$C$3+A37-1</f>
        <v>46331</v>
      </c>
      <c r="C37" s="22" t="str">
        <f aca="false">CHOOSE(WEEKDAY(B37),"日","月","火","水","木","金","土")</f>
        <v>木</v>
      </c>
      <c r="D37" s="8" t="s">
        <v>81</v>
      </c>
      <c r="E37" s="24" t="s">
        <v>51</v>
      </c>
      <c r="F37" s="8" t="s">
        <v>83</v>
      </c>
      <c r="G37" s="22" t="s">
        <v>55</v>
      </c>
      <c r="H37" s="20"/>
      <c r="I37" s="21"/>
    </row>
    <row r="38" customFormat="false" ht="15" hidden="false" customHeight="false" outlineLevel="0" collapsed="false">
      <c r="A38" s="22" t="n">
        <v>33</v>
      </c>
      <c r="B38" s="23" t="n">
        <f aca="false">$C$3+A38-1</f>
        <v>46332</v>
      </c>
      <c r="C38" s="22" t="str">
        <f aca="false">CHOOSE(WEEKDAY(B38),"日","月","火","水","木","金","土")</f>
        <v>金</v>
      </c>
      <c r="D38" s="8" t="s">
        <v>81</v>
      </c>
      <c r="E38" s="24" t="s">
        <v>51</v>
      </c>
      <c r="F38" s="8" t="s">
        <v>84</v>
      </c>
      <c r="G38" s="22" t="s">
        <v>55</v>
      </c>
      <c r="H38" s="20"/>
      <c r="I38" s="21"/>
    </row>
    <row r="39" customFormat="false" ht="15" hidden="false" customHeight="false" outlineLevel="0" collapsed="false">
      <c r="A39" s="22" t="n">
        <v>34</v>
      </c>
      <c r="B39" s="23" t="n">
        <f aca="false">$C$3+A39-1</f>
        <v>46333</v>
      </c>
      <c r="C39" s="22" t="str">
        <f aca="false">CHOOSE(WEEKDAY(B39),"日","月","火","水","木","金","土")</f>
        <v>土</v>
      </c>
      <c r="D39" s="8" t="s">
        <v>81</v>
      </c>
      <c r="E39" s="24" t="s">
        <v>56</v>
      </c>
      <c r="F39" s="8" t="s">
        <v>57</v>
      </c>
      <c r="G39" s="22" t="s">
        <v>58</v>
      </c>
      <c r="H39" s="20"/>
      <c r="I39" s="21"/>
    </row>
    <row r="40" customFormat="false" ht="15" hidden="false" customHeight="false" outlineLevel="0" collapsed="false">
      <c r="A40" s="22" t="n">
        <v>35</v>
      </c>
      <c r="B40" s="23" t="n">
        <f aca="false">$C$3+A40-1</f>
        <v>46334</v>
      </c>
      <c r="C40" s="22" t="str">
        <f aca="false">CHOOSE(WEEKDAY(B40),"日","月","火","水","木","金","土")</f>
        <v>日</v>
      </c>
      <c r="D40" s="8" t="s">
        <v>81</v>
      </c>
      <c r="E40" s="24" t="s">
        <v>59</v>
      </c>
      <c r="F40" s="8" t="s">
        <v>77</v>
      </c>
      <c r="G40" s="22" t="s">
        <v>78</v>
      </c>
      <c r="H40" s="20"/>
      <c r="I40" s="21"/>
    </row>
    <row r="41" customFormat="false" ht="15" hidden="false" customHeight="false" outlineLevel="0" collapsed="false">
      <c r="A41" s="22" t="n">
        <v>36</v>
      </c>
      <c r="B41" s="23" t="n">
        <f aca="false">$C$3+A41-1</f>
        <v>46335</v>
      </c>
      <c r="C41" s="22" t="str">
        <f aca="false">CHOOSE(WEEKDAY(B41),"日","月","火","水","木","金","土")</f>
        <v>月</v>
      </c>
      <c r="D41" s="8" t="s">
        <v>81</v>
      </c>
      <c r="E41" s="24" t="s">
        <v>51</v>
      </c>
      <c r="F41" s="8" t="s">
        <v>85</v>
      </c>
      <c r="G41" s="22" t="s">
        <v>55</v>
      </c>
      <c r="H41" s="20"/>
      <c r="I41" s="21"/>
    </row>
    <row r="42" customFormat="false" ht="15" hidden="false" customHeight="false" outlineLevel="0" collapsed="false">
      <c r="A42" s="22" t="n">
        <v>37</v>
      </c>
      <c r="B42" s="23" t="n">
        <f aca="false">$C$3+A42-1</f>
        <v>46336</v>
      </c>
      <c r="C42" s="22" t="str">
        <f aca="false">CHOOSE(WEEKDAY(B42),"日","月","火","水","木","金","土")</f>
        <v>火</v>
      </c>
      <c r="D42" s="8" t="s">
        <v>81</v>
      </c>
      <c r="E42" s="24" t="s">
        <v>51</v>
      </c>
      <c r="F42" s="8" t="s">
        <v>86</v>
      </c>
      <c r="G42" s="22" t="s">
        <v>55</v>
      </c>
      <c r="H42" s="20"/>
      <c r="I42" s="21"/>
    </row>
    <row r="43" customFormat="false" ht="15" hidden="false" customHeight="false" outlineLevel="0" collapsed="false">
      <c r="A43" s="22" t="n">
        <v>38</v>
      </c>
      <c r="B43" s="23" t="n">
        <f aca="false">$C$3+A43-1</f>
        <v>46337</v>
      </c>
      <c r="C43" s="22" t="str">
        <f aca="false">CHOOSE(WEEKDAY(B43),"日","月","火","水","木","金","土")</f>
        <v>水</v>
      </c>
      <c r="D43" s="8" t="s">
        <v>81</v>
      </c>
      <c r="E43" s="24" t="s">
        <v>51</v>
      </c>
      <c r="F43" s="8" t="s">
        <v>87</v>
      </c>
      <c r="G43" s="22" t="s">
        <v>55</v>
      </c>
      <c r="H43" s="20"/>
      <c r="I43" s="21"/>
    </row>
    <row r="44" customFormat="false" ht="15" hidden="false" customHeight="false" outlineLevel="0" collapsed="false">
      <c r="A44" s="22" t="n">
        <v>39</v>
      </c>
      <c r="B44" s="23" t="n">
        <f aca="false">$C$3+A44-1</f>
        <v>46338</v>
      </c>
      <c r="C44" s="22" t="str">
        <f aca="false">CHOOSE(WEEKDAY(B44),"日","月","火","水","木","金","土")</f>
        <v>木</v>
      </c>
      <c r="D44" s="8" t="s">
        <v>81</v>
      </c>
      <c r="E44" s="24" t="s">
        <v>51</v>
      </c>
      <c r="F44" s="8" t="s">
        <v>83</v>
      </c>
      <c r="G44" s="22" t="s">
        <v>55</v>
      </c>
      <c r="H44" s="20"/>
      <c r="I44" s="21"/>
    </row>
    <row r="45" customFormat="false" ht="15" hidden="false" customHeight="false" outlineLevel="0" collapsed="false">
      <c r="A45" s="22" t="n">
        <v>40</v>
      </c>
      <c r="B45" s="23" t="n">
        <f aca="false">$C$3+A45-1</f>
        <v>46339</v>
      </c>
      <c r="C45" s="22" t="str">
        <f aca="false">CHOOSE(WEEKDAY(B45),"日","月","火","水","木","金","土")</f>
        <v>金</v>
      </c>
      <c r="D45" s="8" t="s">
        <v>81</v>
      </c>
      <c r="E45" s="24" t="s">
        <v>51</v>
      </c>
      <c r="F45" s="8" t="s">
        <v>84</v>
      </c>
      <c r="G45" s="22" t="s">
        <v>55</v>
      </c>
      <c r="H45" s="20"/>
      <c r="I45" s="21"/>
    </row>
    <row r="46" customFormat="false" ht="15" hidden="false" customHeight="false" outlineLevel="0" collapsed="false">
      <c r="A46" s="22" t="n">
        <v>41</v>
      </c>
      <c r="B46" s="23" t="n">
        <f aca="false">$C$3+A46-1</f>
        <v>46340</v>
      </c>
      <c r="C46" s="22" t="str">
        <f aca="false">CHOOSE(WEEKDAY(B46),"日","月","火","水","木","金","土")</f>
        <v>土</v>
      </c>
      <c r="D46" s="8" t="s">
        <v>81</v>
      </c>
      <c r="E46" s="24" t="s">
        <v>56</v>
      </c>
      <c r="F46" s="8" t="s">
        <v>57</v>
      </c>
      <c r="G46" s="22" t="s">
        <v>58</v>
      </c>
      <c r="H46" s="20"/>
      <c r="I46" s="21"/>
    </row>
    <row r="47" customFormat="false" ht="15" hidden="false" customHeight="false" outlineLevel="0" collapsed="false">
      <c r="A47" s="22" t="n">
        <v>42</v>
      </c>
      <c r="B47" s="23" t="n">
        <f aca="false">$C$3+A47-1</f>
        <v>46341</v>
      </c>
      <c r="C47" s="22" t="str">
        <f aca="false">CHOOSE(WEEKDAY(B47),"日","月","火","水","木","金","土")</f>
        <v>日</v>
      </c>
      <c r="D47" s="8" t="s">
        <v>81</v>
      </c>
      <c r="E47" s="24" t="s">
        <v>59</v>
      </c>
      <c r="F47" s="8" t="s">
        <v>77</v>
      </c>
      <c r="G47" s="22" t="s">
        <v>78</v>
      </c>
      <c r="H47" s="20"/>
      <c r="I47" s="21"/>
    </row>
    <row r="48" customFormat="false" ht="15" hidden="false" customHeight="false" outlineLevel="0" collapsed="false">
      <c r="A48" s="22" t="n">
        <v>43</v>
      </c>
      <c r="B48" s="23" t="n">
        <f aca="false">$C$3+A48-1</f>
        <v>46342</v>
      </c>
      <c r="C48" s="22" t="str">
        <f aca="false">CHOOSE(WEEKDAY(B48),"日","月","火","水","木","金","土")</f>
        <v>月</v>
      </c>
      <c r="D48" s="8" t="s">
        <v>81</v>
      </c>
      <c r="E48" s="24" t="s">
        <v>51</v>
      </c>
      <c r="F48" s="8" t="s">
        <v>85</v>
      </c>
      <c r="G48" s="22" t="s">
        <v>55</v>
      </c>
      <c r="H48" s="20"/>
      <c r="I48" s="21"/>
    </row>
    <row r="49" customFormat="false" ht="15" hidden="false" customHeight="false" outlineLevel="0" collapsed="false">
      <c r="A49" s="22" t="n">
        <v>44</v>
      </c>
      <c r="B49" s="23" t="n">
        <f aca="false">$C$3+A49-1</f>
        <v>46343</v>
      </c>
      <c r="C49" s="22" t="str">
        <f aca="false">CHOOSE(WEEKDAY(B49),"日","月","火","水","木","金","土")</f>
        <v>火</v>
      </c>
      <c r="D49" s="8" t="s">
        <v>81</v>
      </c>
      <c r="E49" s="24" t="s">
        <v>51</v>
      </c>
      <c r="F49" s="8" t="s">
        <v>86</v>
      </c>
      <c r="G49" s="22" t="s">
        <v>55</v>
      </c>
      <c r="H49" s="20"/>
      <c r="I49" s="21"/>
    </row>
    <row r="50" customFormat="false" ht="26.85" hidden="false" customHeight="false" outlineLevel="0" collapsed="false">
      <c r="A50" s="16" t="n">
        <v>45</v>
      </c>
      <c r="B50" s="17" t="n">
        <f aca="false">$C$3+A50-1</f>
        <v>46344</v>
      </c>
      <c r="C50" s="16" t="str">
        <f aca="false">CHOOSE(WEEKDAY(B50),"日","月","火","水","木","金","土")</f>
        <v>水</v>
      </c>
      <c r="D50" s="18" t="s">
        <v>81</v>
      </c>
      <c r="E50" s="19" t="s">
        <v>65</v>
      </c>
      <c r="F50" s="18" t="s">
        <v>88</v>
      </c>
      <c r="G50" s="16" t="s">
        <v>89</v>
      </c>
      <c r="H50" s="20"/>
      <c r="I50" s="21"/>
    </row>
    <row r="51" customFormat="false" ht="15" hidden="false" customHeight="false" outlineLevel="0" collapsed="false">
      <c r="A51" s="22" t="n">
        <v>46</v>
      </c>
      <c r="B51" s="23" t="n">
        <f aca="false">$C$3+A51-1</f>
        <v>46345</v>
      </c>
      <c r="C51" s="22" t="str">
        <f aca="false">CHOOSE(WEEKDAY(B51),"日","月","火","水","木","金","土")</f>
        <v>木</v>
      </c>
      <c r="D51" s="8" t="s">
        <v>81</v>
      </c>
      <c r="E51" s="24" t="s">
        <v>51</v>
      </c>
      <c r="F51" s="8" t="s">
        <v>83</v>
      </c>
      <c r="G51" s="22" t="s">
        <v>55</v>
      </c>
      <c r="H51" s="20"/>
      <c r="I51" s="21"/>
    </row>
    <row r="52" customFormat="false" ht="15" hidden="false" customHeight="false" outlineLevel="0" collapsed="false">
      <c r="A52" s="22" t="n">
        <v>47</v>
      </c>
      <c r="B52" s="23" t="n">
        <f aca="false">$C$3+A52-1</f>
        <v>46346</v>
      </c>
      <c r="C52" s="22" t="str">
        <f aca="false">CHOOSE(WEEKDAY(B52),"日","月","火","水","木","金","土")</f>
        <v>金</v>
      </c>
      <c r="D52" s="8" t="s">
        <v>81</v>
      </c>
      <c r="E52" s="24" t="s">
        <v>51</v>
      </c>
      <c r="F52" s="8" t="s">
        <v>84</v>
      </c>
      <c r="G52" s="22" t="s">
        <v>55</v>
      </c>
      <c r="H52" s="20"/>
      <c r="I52" s="21"/>
    </row>
    <row r="53" customFormat="false" ht="15" hidden="false" customHeight="false" outlineLevel="0" collapsed="false">
      <c r="A53" s="22" t="n">
        <v>48</v>
      </c>
      <c r="B53" s="23" t="n">
        <f aca="false">$C$3+A53-1</f>
        <v>46347</v>
      </c>
      <c r="C53" s="22" t="str">
        <f aca="false">CHOOSE(WEEKDAY(B53),"日","月","火","水","木","金","土")</f>
        <v>土</v>
      </c>
      <c r="D53" s="8" t="s">
        <v>81</v>
      </c>
      <c r="E53" s="24" t="s">
        <v>56</v>
      </c>
      <c r="F53" s="8" t="s">
        <v>57</v>
      </c>
      <c r="G53" s="22" t="s">
        <v>58</v>
      </c>
      <c r="H53" s="20"/>
      <c r="I53" s="21"/>
    </row>
    <row r="54" customFormat="false" ht="15" hidden="false" customHeight="false" outlineLevel="0" collapsed="false">
      <c r="A54" s="22" t="n">
        <v>49</v>
      </c>
      <c r="B54" s="23" t="n">
        <f aca="false">$C$3+A54-1</f>
        <v>46348</v>
      </c>
      <c r="C54" s="22" t="str">
        <f aca="false">CHOOSE(WEEKDAY(B54),"日","月","火","水","木","金","土")</f>
        <v>日</v>
      </c>
      <c r="D54" s="8" t="s">
        <v>81</v>
      </c>
      <c r="E54" s="24" t="s">
        <v>59</v>
      </c>
      <c r="F54" s="8" t="s">
        <v>77</v>
      </c>
      <c r="G54" s="22" t="s">
        <v>78</v>
      </c>
      <c r="H54" s="20"/>
      <c r="I54" s="21"/>
    </row>
    <row r="55" customFormat="false" ht="15" hidden="false" customHeight="false" outlineLevel="0" collapsed="false">
      <c r="A55" s="22" t="n">
        <v>50</v>
      </c>
      <c r="B55" s="23" t="n">
        <f aca="false">$C$3+A55-1</f>
        <v>46349</v>
      </c>
      <c r="C55" s="22" t="str">
        <f aca="false">CHOOSE(WEEKDAY(B55),"日","月","火","水","木","金","土")</f>
        <v>月</v>
      </c>
      <c r="D55" s="8" t="s">
        <v>81</v>
      </c>
      <c r="E55" s="24" t="s">
        <v>51</v>
      </c>
      <c r="F55" s="8" t="s">
        <v>85</v>
      </c>
      <c r="G55" s="22" t="s">
        <v>55</v>
      </c>
      <c r="H55" s="20"/>
      <c r="I55" s="21"/>
    </row>
    <row r="56" customFormat="false" ht="15" hidden="false" customHeight="false" outlineLevel="0" collapsed="false">
      <c r="A56" s="22" t="n">
        <v>51</v>
      </c>
      <c r="B56" s="23" t="n">
        <f aca="false">$C$3+A56-1</f>
        <v>46350</v>
      </c>
      <c r="C56" s="22" t="str">
        <f aca="false">CHOOSE(WEEKDAY(B56),"日","月","火","水","木","金","土")</f>
        <v>火</v>
      </c>
      <c r="D56" s="8" t="s">
        <v>81</v>
      </c>
      <c r="E56" s="24" t="s">
        <v>51</v>
      </c>
      <c r="F56" s="8" t="s">
        <v>86</v>
      </c>
      <c r="G56" s="22" t="s">
        <v>55</v>
      </c>
      <c r="H56" s="20"/>
      <c r="I56" s="21"/>
    </row>
    <row r="57" customFormat="false" ht="15" hidden="false" customHeight="false" outlineLevel="0" collapsed="false">
      <c r="A57" s="22" t="n">
        <v>52</v>
      </c>
      <c r="B57" s="23" t="n">
        <f aca="false">$C$3+A57-1</f>
        <v>46351</v>
      </c>
      <c r="C57" s="22" t="str">
        <f aca="false">CHOOSE(WEEKDAY(B57),"日","月","火","水","木","金","土")</f>
        <v>水</v>
      </c>
      <c r="D57" s="8" t="s">
        <v>81</v>
      </c>
      <c r="E57" s="24" t="s">
        <v>51</v>
      </c>
      <c r="F57" s="8" t="s">
        <v>87</v>
      </c>
      <c r="G57" s="22" t="s">
        <v>55</v>
      </c>
      <c r="H57" s="20"/>
      <c r="I57" s="21"/>
    </row>
    <row r="58" customFormat="false" ht="15" hidden="false" customHeight="false" outlineLevel="0" collapsed="false">
      <c r="A58" s="22" t="n">
        <v>53</v>
      </c>
      <c r="B58" s="23" t="n">
        <f aca="false">$C$3+A58-1</f>
        <v>46352</v>
      </c>
      <c r="C58" s="22" t="str">
        <f aca="false">CHOOSE(WEEKDAY(B58),"日","月","火","水","木","金","土")</f>
        <v>木</v>
      </c>
      <c r="D58" s="8" t="s">
        <v>81</v>
      </c>
      <c r="E58" s="24" t="s">
        <v>51</v>
      </c>
      <c r="F58" s="8" t="s">
        <v>83</v>
      </c>
      <c r="G58" s="22" t="s">
        <v>55</v>
      </c>
      <c r="H58" s="20"/>
      <c r="I58" s="21"/>
    </row>
    <row r="59" customFormat="false" ht="15" hidden="false" customHeight="false" outlineLevel="0" collapsed="false">
      <c r="A59" s="22" t="n">
        <v>54</v>
      </c>
      <c r="B59" s="23" t="n">
        <f aca="false">$C$3+A59-1</f>
        <v>46353</v>
      </c>
      <c r="C59" s="22" t="str">
        <f aca="false">CHOOSE(WEEKDAY(B59),"日","月","火","水","木","金","土")</f>
        <v>金</v>
      </c>
      <c r="D59" s="8" t="s">
        <v>81</v>
      </c>
      <c r="E59" s="24" t="s">
        <v>51</v>
      </c>
      <c r="F59" s="8" t="s">
        <v>84</v>
      </c>
      <c r="G59" s="22" t="s">
        <v>55</v>
      </c>
      <c r="H59" s="20"/>
      <c r="I59" s="21"/>
    </row>
    <row r="60" customFormat="false" ht="15" hidden="false" customHeight="false" outlineLevel="0" collapsed="false">
      <c r="A60" s="22" t="n">
        <v>55</v>
      </c>
      <c r="B60" s="23" t="n">
        <f aca="false">$C$3+A60-1</f>
        <v>46354</v>
      </c>
      <c r="C60" s="22" t="str">
        <f aca="false">CHOOSE(WEEKDAY(B60),"日","月","火","水","木","金","土")</f>
        <v>土</v>
      </c>
      <c r="D60" s="8" t="s">
        <v>81</v>
      </c>
      <c r="E60" s="24" t="s">
        <v>56</v>
      </c>
      <c r="F60" s="8" t="s">
        <v>57</v>
      </c>
      <c r="G60" s="22" t="s">
        <v>58</v>
      </c>
      <c r="H60" s="20"/>
      <c r="I60" s="21"/>
    </row>
    <row r="61" customFormat="false" ht="15" hidden="false" customHeight="false" outlineLevel="0" collapsed="false">
      <c r="A61" s="22" t="n">
        <v>56</v>
      </c>
      <c r="B61" s="23" t="n">
        <f aca="false">$C$3+A61-1</f>
        <v>46355</v>
      </c>
      <c r="C61" s="22" t="str">
        <f aca="false">CHOOSE(WEEKDAY(B61),"日","月","火","水","木","金","土")</f>
        <v>日</v>
      </c>
      <c r="D61" s="8" t="s">
        <v>81</v>
      </c>
      <c r="E61" s="24" t="s">
        <v>59</v>
      </c>
      <c r="F61" s="8" t="s">
        <v>77</v>
      </c>
      <c r="G61" s="22" t="s">
        <v>78</v>
      </c>
      <c r="H61" s="20"/>
      <c r="I61" s="21"/>
    </row>
    <row r="62" customFormat="false" ht="15" hidden="false" customHeight="false" outlineLevel="0" collapsed="false">
      <c r="A62" s="22" t="n">
        <v>57</v>
      </c>
      <c r="B62" s="23" t="n">
        <f aca="false">$C$3+A62-1</f>
        <v>46356</v>
      </c>
      <c r="C62" s="22" t="str">
        <f aca="false">CHOOSE(WEEKDAY(B62),"日","月","火","水","木","金","土")</f>
        <v>月</v>
      </c>
      <c r="D62" s="8" t="s">
        <v>81</v>
      </c>
      <c r="E62" s="24" t="s">
        <v>51</v>
      </c>
      <c r="F62" s="8" t="s">
        <v>85</v>
      </c>
      <c r="G62" s="22" t="s">
        <v>55</v>
      </c>
      <c r="H62" s="20"/>
      <c r="I62" s="21"/>
    </row>
    <row r="63" customFormat="false" ht="15" hidden="false" customHeight="false" outlineLevel="0" collapsed="false">
      <c r="A63" s="22" t="n">
        <v>58</v>
      </c>
      <c r="B63" s="23" t="n">
        <f aca="false">$C$3+A63-1</f>
        <v>46357</v>
      </c>
      <c r="C63" s="22" t="str">
        <f aca="false">CHOOSE(WEEKDAY(B63),"日","月","火","水","木","金","土")</f>
        <v>火</v>
      </c>
      <c r="D63" s="8" t="s">
        <v>81</v>
      </c>
      <c r="E63" s="24" t="s">
        <v>51</v>
      </c>
      <c r="F63" s="8" t="s">
        <v>86</v>
      </c>
      <c r="G63" s="22" t="s">
        <v>55</v>
      </c>
      <c r="H63" s="20"/>
      <c r="I63" s="21"/>
    </row>
    <row r="64" customFormat="false" ht="15" hidden="false" customHeight="false" outlineLevel="0" collapsed="false">
      <c r="A64" s="22" t="n">
        <v>59</v>
      </c>
      <c r="B64" s="23" t="n">
        <f aca="false">$C$3+A64-1</f>
        <v>46358</v>
      </c>
      <c r="C64" s="22" t="str">
        <f aca="false">CHOOSE(WEEKDAY(B64),"日","月","火","水","木","金","土")</f>
        <v>水</v>
      </c>
      <c r="D64" s="8" t="s">
        <v>81</v>
      </c>
      <c r="E64" s="24" t="s">
        <v>51</v>
      </c>
      <c r="F64" s="8" t="s">
        <v>87</v>
      </c>
      <c r="G64" s="22" t="s">
        <v>55</v>
      </c>
      <c r="H64" s="20"/>
      <c r="I64" s="21"/>
    </row>
    <row r="65" customFormat="false" ht="26.85" hidden="false" customHeight="false" outlineLevel="0" collapsed="false">
      <c r="A65" s="16" t="n">
        <v>60</v>
      </c>
      <c r="B65" s="17" t="n">
        <f aca="false">$C$3+A65-1</f>
        <v>46359</v>
      </c>
      <c r="C65" s="16" t="str">
        <f aca="false">CHOOSE(WEEKDAY(B65),"日","月","火","水","木","金","土")</f>
        <v>木</v>
      </c>
      <c r="D65" s="18" t="s">
        <v>81</v>
      </c>
      <c r="E65" s="19" t="s">
        <v>65</v>
      </c>
      <c r="F65" s="18" t="s">
        <v>90</v>
      </c>
      <c r="G65" s="16" t="s">
        <v>80</v>
      </c>
      <c r="H65" s="20"/>
      <c r="I65" s="21"/>
    </row>
    <row r="66" customFormat="false" ht="15" hidden="false" customHeight="false" outlineLevel="0" collapsed="false">
      <c r="A66" s="16" t="n">
        <v>61</v>
      </c>
      <c r="B66" s="17" t="n">
        <f aca="false">$C$3+A66-1</f>
        <v>46360</v>
      </c>
      <c r="C66" s="16" t="str">
        <f aca="false">CHOOSE(WEEKDAY(B66),"日","月","火","水","木","金","土")</f>
        <v>金</v>
      </c>
      <c r="D66" s="18" t="s">
        <v>91</v>
      </c>
      <c r="E66" s="19" t="s">
        <v>51</v>
      </c>
      <c r="F66" s="18" t="s">
        <v>92</v>
      </c>
      <c r="G66" s="16" t="s">
        <v>70</v>
      </c>
      <c r="H66" s="20"/>
      <c r="I66" s="21"/>
    </row>
    <row r="67" customFormat="false" ht="15" hidden="false" customHeight="false" outlineLevel="0" collapsed="false">
      <c r="A67" s="22" t="n">
        <v>62</v>
      </c>
      <c r="B67" s="23" t="n">
        <f aca="false">$C$3+A67-1</f>
        <v>46361</v>
      </c>
      <c r="C67" s="22" t="str">
        <f aca="false">CHOOSE(WEEKDAY(B67),"日","月","火","水","木","金","土")</f>
        <v>土</v>
      </c>
      <c r="D67" s="8" t="s">
        <v>91</v>
      </c>
      <c r="E67" s="24" t="s">
        <v>56</v>
      </c>
      <c r="F67" s="8" t="s">
        <v>57</v>
      </c>
      <c r="G67" s="22" t="s">
        <v>58</v>
      </c>
      <c r="H67" s="20"/>
      <c r="I67" s="21"/>
    </row>
    <row r="68" customFormat="false" ht="15" hidden="false" customHeight="false" outlineLevel="0" collapsed="false">
      <c r="A68" s="22" t="n">
        <v>63</v>
      </c>
      <c r="B68" s="23" t="n">
        <f aca="false">$C$3+A68-1</f>
        <v>46362</v>
      </c>
      <c r="C68" s="22" t="str">
        <f aca="false">CHOOSE(WEEKDAY(B68),"日","月","火","水","木","金","土")</f>
        <v>日</v>
      </c>
      <c r="D68" s="8" t="s">
        <v>91</v>
      </c>
      <c r="E68" s="24" t="s">
        <v>59</v>
      </c>
      <c r="F68" s="8" t="s">
        <v>77</v>
      </c>
      <c r="G68" s="22" t="s">
        <v>78</v>
      </c>
      <c r="H68" s="20"/>
      <c r="I68" s="21"/>
    </row>
    <row r="69" customFormat="false" ht="15" hidden="false" customHeight="false" outlineLevel="0" collapsed="false">
      <c r="A69" s="22" t="n">
        <v>64</v>
      </c>
      <c r="B69" s="23" t="n">
        <f aca="false">$C$3+A69-1</f>
        <v>46363</v>
      </c>
      <c r="C69" s="22" t="str">
        <f aca="false">CHOOSE(WEEKDAY(B69),"日","月","火","水","木","金","土")</f>
        <v>月</v>
      </c>
      <c r="D69" s="8" t="s">
        <v>91</v>
      </c>
      <c r="E69" s="24" t="s">
        <v>51</v>
      </c>
      <c r="F69" s="8" t="s">
        <v>93</v>
      </c>
      <c r="G69" s="22" t="s">
        <v>55</v>
      </c>
      <c r="H69" s="20"/>
      <c r="I69" s="21"/>
    </row>
    <row r="70" customFormat="false" ht="15" hidden="false" customHeight="false" outlineLevel="0" collapsed="false">
      <c r="A70" s="22" t="n">
        <v>65</v>
      </c>
      <c r="B70" s="23" t="n">
        <f aca="false">$C$3+A70-1</f>
        <v>46364</v>
      </c>
      <c r="C70" s="22" t="str">
        <f aca="false">CHOOSE(WEEKDAY(B70),"日","月","火","水","木","金","土")</f>
        <v>火</v>
      </c>
      <c r="D70" s="8" t="s">
        <v>91</v>
      </c>
      <c r="E70" s="24" t="s">
        <v>51</v>
      </c>
      <c r="F70" s="8" t="s">
        <v>94</v>
      </c>
      <c r="G70" s="22" t="s">
        <v>55</v>
      </c>
      <c r="H70" s="20"/>
      <c r="I70" s="21"/>
    </row>
    <row r="71" customFormat="false" ht="15" hidden="false" customHeight="false" outlineLevel="0" collapsed="false">
      <c r="A71" s="22" t="n">
        <v>66</v>
      </c>
      <c r="B71" s="23" t="n">
        <f aca="false">$C$3+A71-1</f>
        <v>46365</v>
      </c>
      <c r="C71" s="22" t="str">
        <f aca="false">CHOOSE(WEEKDAY(B71),"日","月","火","水","木","金","土")</f>
        <v>水</v>
      </c>
      <c r="D71" s="8" t="s">
        <v>91</v>
      </c>
      <c r="E71" s="24" t="s">
        <v>51</v>
      </c>
      <c r="F71" s="8" t="s">
        <v>95</v>
      </c>
      <c r="G71" s="22" t="s">
        <v>55</v>
      </c>
      <c r="H71" s="20"/>
      <c r="I71" s="21"/>
    </row>
    <row r="72" customFormat="false" ht="15" hidden="false" customHeight="false" outlineLevel="0" collapsed="false">
      <c r="A72" s="22" t="n">
        <v>67</v>
      </c>
      <c r="B72" s="23" t="n">
        <f aca="false">$C$3+A72-1</f>
        <v>46366</v>
      </c>
      <c r="C72" s="22" t="str">
        <f aca="false">CHOOSE(WEEKDAY(B72),"日","月","火","水","木","金","土")</f>
        <v>木</v>
      </c>
      <c r="D72" s="8" t="s">
        <v>91</v>
      </c>
      <c r="E72" s="24" t="s">
        <v>51</v>
      </c>
      <c r="F72" s="8" t="s">
        <v>96</v>
      </c>
      <c r="G72" s="22" t="s">
        <v>55</v>
      </c>
      <c r="H72" s="20"/>
      <c r="I72" s="21"/>
    </row>
    <row r="73" customFormat="false" ht="15" hidden="false" customHeight="false" outlineLevel="0" collapsed="false">
      <c r="A73" s="22" t="n">
        <v>68</v>
      </c>
      <c r="B73" s="23" t="n">
        <f aca="false">$C$3+A73-1</f>
        <v>46367</v>
      </c>
      <c r="C73" s="22" t="str">
        <f aca="false">CHOOSE(WEEKDAY(B73),"日","月","火","水","木","金","土")</f>
        <v>金</v>
      </c>
      <c r="D73" s="8" t="s">
        <v>91</v>
      </c>
      <c r="E73" s="24" t="s">
        <v>51</v>
      </c>
      <c r="F73" s="8" t="s">
        <v>97</v>
      </c>
      <c r="G73" s="22" t="s">
        <v>55</v>
      </c>
      <c r="H73" s="20"/>
      <c r="I73" s="21"/>
    </row>
    <row r="74" customFormat="false" ht="15" hidden="false" customHeight="false" outlineLevel="0" collapsed="false">
      <c r="A74" s="22" t="n">
        <v>69</v>
      </c>
      <c r="B74" s="23" t="n">
        <f aca="false">$C$3+A74-1</f>
        <v>46368</v>
      </c>
      <c r="C74" s="22" t="str">
        <f aca="false">CHOOSE(WEEKDAY(B74),"日","月","火","水","木","金","土")</f>
        <v>土</v>
      </c>
      <c r="D74" s="8" t="s">
        <v>91</v>
      </c>
      <c r="E74" s="24" t="s">
        <v>56</v>
      </c>
      <c r="F74" s="8" t="s">
        <v>57</v>
      </c>
      <c r="G74" s="22" t="s">
        <v>58</v>
      </c>
      <c r="H74" s="20"/>
      <c r="I74" s="21"/>
    </row>
    <row r="75" customFormat="false" ht="15" hidden="false" customHeight="false" outlineLevel="0" collapsed="false">
      <c r="A75" s="16" t="n">
        <v>70</v>
      </c>
      <c r="B75" s="17" t="n">
        <f aca="false">$C$3+A75-1</f>
        <v>46369</v>
      </c>
      <c r="C75" s="16" t="str">
        <f aca="false">CHOOSE(WEEKDAY(B75),"日","月","火","水","木","金","土")</f>
        <v>日</v>
      </c>
      <c r="D75" s="18" t="s">
        <v>91</v>
      </c>
      <c r="E75" s="16" t="s">
        <v>98</v>
      </c>
      <c r="F75" s="25" t="s">
        <v>99</v>
      </c>
      <c r="G75" s="16" t="s">
        <v>61</v>
      </c>
      <c r="H75" s="20"/>
      <c r="I75" s="21"/>
    </row>
    <row r="76" customFormat="false" ht="15" hidden="false" customHeight="false" outlineLevel="0" collapsed="false">
      <c r="A76" s="22" t="n">
        <v>71</v>
      </c>
      <c r="B76" s="23" t="n">
        <f aca="false">$C$3+A76-1</f>
        <v>46370</v>
      </c>
      <c r="C76" s="22" t="str">
        <f aca="false">CHOOSE(WEEKDAY(B76),"日","月","火","水","木","金","土")</f>
        <v>月</v>
      </c>
      <c r="D76" s="8" t="s">
        <v>91</v>
      </c>
      <c r="E76" s="24" t="s">
        <v>51</v>
      </c>
      <c r="F76" s="8" t="s">
        <v>93</v>
      </c>
      <c r="G76" s="22" t="s">
        <v>55</v>
      </c>
      <c r="H76" s="20"/>
      <c r="I76" s="21"/>
    </row>
    <row r="77" customFormat="false" ht="15" hidden="false" customHeight="false" outlineLevel="0" collapsed="false">
      <c r="A77" s="22" t="n">
        <v>72</v>
      </c>
      <c r="B77" s="23" t="n">
        <f aca="false">$C$3+A77-1</f>
        <v>46371</v>
      </c>
      <c r="C77" s="22" t="str">
        <f aca="false">CHOOSE(WEEKDAY(B77),"日","月","火","水","木","金","土")</f>
        <v>火</v>
      </c>
      <c r="D77" s="8" t="s">
        <v>91</v>
      </c>
      <c r="E77" s="24" t="s">
        <v>51</v>
      </c>
      <c r="F77" s="8" t="s">
        <v>94</v>
      </c>
      <c r="G77" s="22" t="s">
        <v>55</v>
      </c>
      <c r="H77" s="20"/>
      <c r="I77" s="21"/>
    </row>
    <row r="78" customFormat="false" ht="15" hidden="false" customHeight="false" outlineLevel="0" collapsed="false">
      <c r="A78" s="22" t="n">
        <v>73</v>
      </c>
      <c r="B78" s="23" t="n">
        <f aca="false">$C$3+A78-1</f>
        <v>46372</v>
      </c>
      <c r="C78" s="22" t="str">
        <f aca="false">CHOOSE(WEEKDAY(B78),"日","月","火","水","木","金","土")</f>
        <v>水</v>
      </c>
      <c r="D78" s="8" t="s">
        <v>91</v>
      </c>
      <c r="E78" s="24" t="s">
        <v>51</v>
      </c>
      <c r="F78" s="8" t="s">
        <v>95</v>
      </c>
      <c r="G78" s="22" t="s">
        <v>55</v>
      </c>
      <c r="H78" s="20"/>
      <c r="I78" s="21"/>
    </row>
    <row r="79" customFormat="false" ht="15" hidden="false" customHeight="false" outlineLevel="0" collapsed="false">
      <c r="A79" s="22" t="n">
        <v>74</v>
      </c>
      <c r="B79" s="23" t="n">
        <f aca="false">$C$3+A79-1</f>
        <v>46373</v>
      </c>
      <c r="C79" s="22" t="str">
        <f aca="false">CHOOSE(WEEKDAY(B79),"日","月","火","水","木","金","土")</f>
        <v>木</v>
      </c>
      <c r="D79" s="8" t="s">
        <v>91</v>
      </c>
      <c r="E79" s="24" t="s">
        <v>51</v>
      </c>
      <c r="F79" s="8" t="s">
        <v>96</v>
      </c>
      <c r="G79" s="22" t="s">
        <v>55</v>
      </c>
      <c r="H79" s="20"/>
      <c r="I79" s="21"/>
    </row>
    <row r="80" customFormat="false" ht="15" hidden="false" customHeight="false" outlineLevel="0" collapsed="false">
      <c r="A80" s="16" t="n">
        <v>75</v>
      </c>
      <c r="B80" s="17" t="n">
        <f aca="false">$C$3+A80-1</f>
        <v>46374</v>
      </c>
      <c r="C80" s="16" t="str">
        <f aca="false">CHOOSE(WEEKDAY(B80),"日","月","火","水","木","金","土")</f>
        <v>金</v>
      </c>
      <c r="D80" s="18" t="s">
        <v>91</v>
      </c>
      <c r="E80" s="16" t="s">
        <v>98</v>
      </c>
      <c r="F80" s="18" t="s">
        <v>100</v>
      </c>
      <c r="G80" s="16" t="s">
        <v>80</v>
      </c>
      <c r="H80" s="20"/>
      <c r="I80" s="21"/>
    </row>
    <row r="81" customFormat="false" ht="15" hidden="false" customHeight="false" outlineLevel="0" collapsed="false">
      <c r="A81" s="22" t="n">
        <v>76</v>
      </c>
      <c r="B81" s="23" t="n">
        <f aca="false">$C$3+A81-1</f>
        <v>46375</v>
      </c>
      <c r="C81" s="22" t="str">
        <f aca="false">CHOOSE(WEEKDAY(B81),"日","月","火","水","木","金","土")</f>
        <v>土</v>
      </c>
      <c r="D81" s="8" t="s">
        <v>91</v>
      </c>
      <c r="E81" s="24" t="s">
        <v>56</v>
      </c>
      <c r="F81" s="8" t="s">
        <v>57</v>
      </c>
      <c r="G81" s="22" t="s">
        <v>58</v>
      </c>
      <c r="H81" s="20"/>
      <c r="I81" s="21"/>
    </row>
    <row r="82" customFormat="false" ht="15" hidden="false" customHeight="false" outlineLevel="0" collapsed="false">
      <c r="A82" s="22" t="n">
        <v>77</v>
      </c>
      <c r="B82" s="23" t="n">
        <f aca="false">$C$3+A82-1</f>
        <v>46376</v>
      </c>
      <c r="C82" s="22" t="str">
        <f aca="false">CHOOSE(WEEKDAY(B82),"日","月","火","水","木","金","土")</f>
        <v>日</v>
      </c>
      <c r="D82" s="8" t="s">
        <v>91</v>
      </c>
      <c r="E82" s="24" t="s">
        <v>59</v>
      </c>
      <c r="F82" s="8" t="s">
        <v>77</v>
      </c>
      <c r="G82" s="22" t="s">
        <v>78</v>
      </c>
      <c r="H82" s="20"/>
      <c r="I82" s="21"/>
    </row>
    <row r="83" customFormat="false" ht="15" hidden="false" customHeight="false" outlineLevel="0" collapsed="false">
      <c r="A83" s="22" t="n">
        <v>78</v>
      </c>
      <c r="B83" s="23" t="n">
        <f aca="false">$C$3+A83-1</f>
        <v>46377</v>
      </c>
      <c r="C83" s="22" t="str">
        <f aca="false">CHOOSE(WEEKDAY(B83),"日","月","火","水","木","金","土")</f>
        <v>月</v>
      </c>
      <c r="D83" s="8" t="s">
        <v>91</v>
      </c>
      <c r="E83" s="24" t="s">
        <v>51</v>
      </c>
      <c r="F83" s="8" t="s">
        <v>93</v>
      </c>
      <c r="G83" s="22" t="s">
        <v>55</v>
      </c>
      <c r="H83" s="20"/>
      <c r="I83" s="21"/>
    </row>
    <row r="84" customFormat="false" ht="15" hidden="false" customHeight="false" outlineLevel="0" collapsed="false">
      <c r="A84" s="22" t="n">
        <v>79</v>
      </c>
      <c r="B84" s="23" t="n">
        <f aca="false">$C$3+A84-1</f>
        <v>46378</v>
      </c>
      <c r="C84" s="22" t="str">
        <f aca="false">CHOOSE(WEEKDAY(B84),"日","月","火","水","木","金","土")</f>
        <v>火</v>
      </c>
      <c r="D84" s="8" t="s">
        <v>91</v>
      </c>
      <c r="E84" s="24" t="s">
        <v>51</v>
      </c>
      <c r="F84" s="8" t="s">
        <v>94</v>
      </c>
      <c r="G84" s="22" t="s">
        <v>55</v>
      </c>
      <c r="H84" s="20"/>
      <c r="I84" s="21"/>
    </row>
    <row r="85" customFormat="false" ht="15" hidden="false" customHeight="false" outlineLevel="0" collapsed="false">
      <c r="A85" s="16" t="n">
        <v>80</v>
      </c>
      <c r="B85" s="17" t="n">
        <f aca="false">$C$3+A85-1</f>
        <v>46379</v>
      </c>
      <c r="C85" s="16" t="str">
        <f aca="false">CHOOSE(WEEKDAY(B85),"日","月","火","水","木","金","土")</f>
        <v>水</v>
      </c>
      <c r="D85" s="18" t="s">
        <v>91</v>
      </c>
      <c r="E85" s="16" t="s">
        <v>98</v>
      </c>
      <c r="F85" s="18" t="s">
        <v>101</v>
      </c>
      <c r="G85" s="16" t="s">
        <v>80</v>
      </c>
      <c r="H85" s="20"/>
      <c r="I85" s="21"/>
    </row>
    <row r="86" customFormat="false" ht="15" hidden="false" customHeight="false" outlineLevel="0" collapsed="false">
      <c r="A86" s="22" t="n">
        <v>81</v>
      </c>
      <c r="B86" s="23" t="n">
        <f aca="false">$C$3+A86-1</f>
        <v>46380</v>
      </c>
      <c r="C86" s="22" t="str">
        <f aca="false">CHOOSE(WEEKDAY(B86),"日","月","火","水","木","金","土")</f>
        <v>木</v>
      </c>
      <c r="D86" s="8" t="s">
        <v>91</v>
      </c>
      <c r="E86" s="24" t="s">
        <v>51</v>
      </c>
      <c r="F86" s="8" t="s">
        <v>96</v>
      </c>
      <c r="G86" s="22" t="s">
        <v>55</v>
      </c>
      <c r="H86" s="20"/>
      <c r="I86" s="21"/>
    </row>
    <row r="87" customFormat="false" ht="15" hidden="false" customHeight="false" outlineLevel="0" collapsed="false">
      <c r="A87" s="22" t="n">
        <v>82</v>
      </c>
      <c r="B87" s="23" t="n">
        <f aca="false">$C$3+A87-1</f>
        <v>46381</v>
      </c>
      <c r="C87" s="22" t="str">
        <f aca="false">CHOOSE(WEEKDAY(B87),"日","月","火","水","木","金","土")</f>
        <v>金</v>
      </c>
      <c r="D87" s="8" t="s">
        <v>91</v>
      </c>
      <c r="E87" s="24" t="s">
        <v>51</v>
      </c>
      <c r="F87" s="8" t="s">
        <v>97</v>
      </c>
      <c r="G87" s="22" t="s">
        <v>55</v>
      </c>
      <c r="H87" s="20"/>
      <c r="I87" s="21"/>
    </row>
    <row r="88" customFormat="false" ht="15" hidden="false" customHeight="false" outlineLevel="0" collapsed="false">
      <c r="A88" s="22" t="n">
        <v>83</v>
      </c>
      <c r="B88" s="23" t="n">
        <f aca="false">$C$3+A88-1</f>
        <v>46382</v>
      </c>
      <c r="C88" s="22" t="str">
        <f aca="false">CHOOSE(WEEKDAY(B88),"日","月","火","水","木","金","土")</f>
        <v>土</v>
      </c>
      <c r="D88" s="8" t="s">
        <v>91</v>
      </c>
      <c r="E88" s="24" t="s">
        <v>56</v>
      </c>
      <c r="F88" s="8" t="s">
        <v>57</v>
      </c>
      <c r="G88" s="22" t="s">
        <v>58</v>
      </c>
      <c r="H88" s="20"/>
      <c r="I88" s="21"/>
    </row>
    <row r="89" customFormat="false" ht="15" hidden="false" customHeight="false" outlineLevel="0" collapsed="false">
      <c r="A89" s="16" t="n">
        <v>84</v>
      </c>
      <c r="B89" s="17" t="n">
        <f aca="false">$C$3+A89-1</f>
        <v>46383</v>
      </c>
      <c r="C89" s="16" t="str">
        <f aca="false">CHOOSE(WEEKDAY(B89),"日","月","火","水","木","金","土")</f>
        <v>日</v>
      </c>
      <c r="D89" s="18" t="s">
        <v>91</v>
      </c>
      <c r="E89" s="16" t="s">
        <v>98</v>
      </c>
      <c r="F89" s="25" t="s">
        <v>102</v>
      </c>
      <c r="G89" s="16" t="s">
        <v>61</v>
      </c>
      <c r="H89" s="20"/>
      <c r="I89" s="21"/>
    </row>
    <row r="90" customFormat="false" ht="15" hidden="false" customHeight="false" outlineLevel="0" collapsed="false">
      <c r="A90" s="22" t="n">
        <v>85</v>
      </c>
      <c r="B90" s="23" t="n">
        <f aca="false">$C$3+A90-1</f>
        <v>46384</v>
      </c>
      <c r="C90" s="22" t="str">
        <f aca="false">CHOOSE(WEEKDAY(B90),"日","月","火","水","木","金","土")</f>
        <v>月</v>
      </c>
      <c r="D90" s="8" t="s">
        <v>91</v>
      </c>
      <c r="E90" s="24" t="s">
        <v>51</v>
      </c>
      <c r="F90" s="8" t="s">
        <v>93</v>
      </c>
      <c r="G90" s="22" t="s">
        <v>55</v>
      </c>
      <c r="H90" s="20"/>
      <c r="I90" s="21"/>
    </row>
    <row r="91" customFormat="false" ht="15" hidden="false" customHeight="false" outlineLevel="0" collapsed="false">
      <c r="A91" s="22" t="n">
        <v>86</v>
      </c>
      <c r="B91" s="23" t="n">
        <f aca="false">$C$3+A91-1</f>
        <v>46385</v>
      </c>
      <c r="C91" s="22" t="str">
        <f aca="false">CHOOSE(WEEKDAY(B91),"日","月","火","水","木","金","土")</f>
        <v>火</v>
      </c>
      <c r="D91" s="8" t="s">
        <v>91</v>
      </c>
      <c r="E91" s="24" t="s">
        <v>51</v>
      </c>
      <c r="F91" s="8" t="s">
        <v>94</v>
      </c>
      <c r="G91" s="22" t="s">
        <v>55</v>
      </c>
      <c r="H91" s="20"/>
      <c r="I91" s="21"/>
    </row>
    <row r="92" customFormat="false" ht="15" hidden="false" customHeight="false" outlineLevel="0" collapsed="false">
      <c r="A92" s="22" t="n">
        <v>87</v>
      </c>
      <c r="B92" s="23" t="n">
        <f aca="false">$C$3+A92-1</f>
        <v>46386</v>
      </c>
      <c r="C92" s="22" t="str">
        <f aca="false">CHOOSE(WEEKDAY(B92),"日","月","火","水","木","金","土")</f>
        <v>水</v>
      </c>
      <c r="D92" s="8" t="s">
        <v>91</v>
      </c>
      <c r="E92" s="24" t="s">
        <v>51</v>
      </c>
      <c r="F92" s="8" t="s">
        <v>95</v>
      </c>
      <c r="G92" s="22" t="s">
        <v>55</v>
      </c>
      <c r="H92" s="20"/>
      <c r="I92" s="21"/>
    </row>
    <row r="93" customFormat="false" ht="15" hidden="false" customHeight="false" outlineLevel="0" collapsed="false">
      <c r="A93" s="22" t="n">
        <v>88</v>
      </c>
      <c r="B93" s="23" t="n">
        <f aca="false">$C$3+A93-1</f>
        <v>46387</v>
      </c>
      <c r="C93" s="22" t="str">
        <f aca="false">CHOOSE(WEEKDAY(B93),"日","月","火","水","木","金","土")</f>
        <v>木</v>
      </c>
      <c r="D93" s="8" t="s">
        <v>91</v>
      </c>
      <c r="E93" s="24" t="s">
        <v>51</v>
      </c>
      <c r="F93" s="8" t="s">
        <v>96</v>
      </c>
      <c r="G93" s="22" t="s">
        <v>55</v>
      </c>
      <c r="H93" s="20"/>
      <c r="I93" s="21"/>
    </row>
    <row r="94" customFormat="false" ht="15" hidden="false" customHeight="false" outlineLevel="0" collapsed="false">
      <c r="A94" s="22" t="n">
        <v>89</v>
      </c>
      <c r="B94" s="23" t="n">
        <f aca="false">$C$3+A94-1</f>
        <v>46388</v>
      </c>
      <c r="C94" s="22" t="str">
        <f aca="false">CHOOSE(WEEKDAY(B94),"日","月","火","水","木","金","土")</f>
        <v>金</v>
      </c>
      <c r="D94" s="8" t="s">
        <v>91</v>
      </c>
      <c r="E94" s="24" t="s">
        <v>51</v>
      </c>
      <c r="F94" s="8" t="s">
        <v>97</v>
      </c>
      <c r="G94" s="22" t="s">
        <v>55</v>
      </c>
      <c r="H94" s="20"/>
      <c r="I94" s="21"/>
    </row>
    <row r="95" customFormat="false" ht="15" hidden="false" customHeight="false" outlineLevel="0" collapsed="false">
      <c r="A95" s="16" t="n">
        <v>90</v>
      </c>
      <c r="B95" s="17" t="n">
        <f aca="false">$C$3+A95-1</f>
        <v>46389</v>
      </c>
      <c r="C95" s="16" t="str">
        <f aca="false">CHOOSE(WEEKDAY(B95),"日","月","火","水","木","金","土")</f>
        <v>土</v>
      </c>
      <c r="D95" s="18" t="s">
        <v>91</v>
      </c>
      <c r="E95" s="19" t="s">
        <v>65</v>
      </c>
      <c r="F95" s="25" t="s">
        <v>103</v>
      </c>
      <c r="G95" s="16" t="s">
        <v>61</v>
      </c>
      <c r="H95" s="20"/>
      <c r="I95" s="21"/>
    </row>
  </sheetData>
  <conditionalFormatting sqref="A6:G95">
    <cfRule type="expression" priority="2" aboveAverage="0" equalAverage="0" bottom="0" percent="0" rank="0" text="" dxfId="0">
      <formula>$B6=TODAY()</formula>
    </cfRule>
  </conditionalFormatting>
  <conditionalFormatting sqref="H6:H95">
    <cfRule type="expression" priority="3" aboveAverage="0" equalAverage="0" bottom="0" percent="0" rank="0" text="" dxfId="1">
      <formula>$H6="✓"</formula>
    </cfRule>
  </conditionalFormatting>
  <dataValidations count="1">
    <dataValidation allowBlank="true" errorStyle="stop" operator="between" showDropDown="false" showErrorMessage="false" showInputMessage="false" sqref="H6:H95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15" t="s">
        <v>106</v>
      </c>
      <c r="B4" s="7" t="s">
        <v>107</v>
      </c>
      <c r="C4" s="7" t="s">
        <v>108</v>
      </c>
      <c r="D4" s="7" t="s">
        <v>109</v>
      </c>
      <c r="E4" s="7" t="s">
        <v>110</v>
      </c>
      <c r="F4" s="7" t="s">
        <v>111</v>
      </c>
    </row>
    <row r="5" customFormat="false" ht="15" hidden="false" customHeight="false" outlineLevel="0" collapsed="false">
      <c r="A5" s="22" t="n">
        <v>1</v>
      </c>
      <c r="B5" s="8" t="s">
        <v>112</v>
      </c>
      <c r="C5" s="22" t="n">
        <v>1</v>
      </c>
      <c r="D5" s="26" t="n">
        <f aca="false">航海図!$C$3+C5-1</f>
        <v>46300</v>
      </c>
      <c r="E5" s="20"/>
      <c r="F5" s="27"/>
    </row>
    <row r="6" customFormat="false" ht="15" hidden="false" customHeight="false" outlineLevel="0" collapsed="false">
      <c r="A6" s="22" t="n">
        <v>2</v>
      </c>
      <c r="B6" s="8" t="s">
        <v>113</v>
      </c>
      <c r="C6" s="22" t="n">
        <v>4</v>
      </c>
      <c r="D6" s="26" t="n">
        <f aca="false">航海図!$C$3+C6-1</f>
        <v>46303</v>
      </c>
      <c r="E6" s="20"/>
      <c r="F6" s="27"/>
    </row>
    <row r="7" customFormat="false" ht="15" hidden="false" customHeight="false" outlineLevel="0" collapsed="false">
      <c r="A7" s="22" t="n">
        <v>3</v>
      </c>
      <c r="B7" s="28" t="s">
        <v>114</v>
      </c>
      <c r="C7" s="22" t="n">
        <v>2</v>
      </c>
      <c r="D7" s="26" t="n">
        <f aca="false">航海図!$C$3+C7-1</f>
        <v>46301</v>
      </c>
      <c r="E7" s="20"/>
      <c r="F7" s="27"/>
    </row>
    <row r="8" customFormat="false" ht="15" hidden="false" customHeight="false" outlineLevel="0" collapsed="false">
      <c r="A8" s="22" t="n">
        <v>4</v>
      </c>
      <c r="B8" s="8" t="s">
        <v>115</v>
      </c>
      <c r="C8" s="22" t="n">
        <v>3</v>
      </c>
      <c r="D8" s="26" t="n">
        <f aca="false">航海図!$C$3+C8-1</f>
        <v>46302</v>
      </c>
      <c r="E8" s="20"/>
      <c r="F8" s="27"/>
    </row>
    <row r="9" customFormat="false" ht="15" hidden="false" customHeight="false" outlineLevel="0" collapsed="false">
      <c r="A9" s="22" t="n">
        <v>5</v>
      </c>
      <c r="B9" s="8" t="s">
        <v>116</v>
      </c>
      <c r="C9" s="22" t="n">
        <v>4</v>
      </c>
      <c r="D9" s="26" t="n">
        <f aca="false">航海図!$C$3+C9-1</f>
        <v>46303</v>
      </c>
      <c r="E9" s="20"/>
      <c r="F9" s="27"/>
    </row>
    <row r="10" customFormat="false" ht="15" hidden="false" customHeight="false" outlineLevel="0" collapsed="false">
      <c r="A10" s="22" t="n">
        <v>6</v>
      </c>
      <c r="B10" s="28" t="s">
        <v>117</v>
      </c>
      <c r="C10" s="22" t="n">
        <v>11</v>
      </c>
      <c r="D10" s="26" t="n">
        <f aca="false">航海図!$C$3+C10-1</f>
        <v>46310</v>
      </c>
      <c r="E10" s="20"/>
      <c r="F10" s="27"/>
    </row>
    <row r="11" customFormat="false" ht="15" hidden="false" customHeight="false" outlineLevel="0" collapsed="false">
      <c r="A11" s="22" t="n">
        <v>7</v>
      </c>
      <c r="B11" s="8" t="s">
        <v>118</v>
      </c>
      <c r="C11" s="22" t="n">
        <v>21</v>
      </c>
      <c r="D11" s="26" t="n">
        <f aca="false">航海図!$C$3+C11-1</f>
        <v>46320</v>
      </c>
      <c r="E11" s="20"/>
      <c r="F11" s="27"/>
    </row>
    <row r="12" customFormat="false" ht="15" hidden="false" customHeight="false" outlineLevel="0" collapsed="false">
      <c r="A12" s="22" t="n">
        <v>8</v>
      </c>
      <c r="B12" s="28" t="s">
        <v>119</v>
      </c>
      <c r="C12" s="22" t="n">
        <v>21</v>
      </c>
      <c r="D12" s="26" t="n">
        <f aca="false">航海図!$C$3+C12-1</f>
        <v>46320</v>
      </c>
      <c r="E12" s="20"/>
      <c r="F12" s="27"/>
    </row>
    <row r="13" customFormat="false" ht="15" hidden="false" customHeight="false" outlineLevel="0" collapsed="false">
      <c r="A13" s="22" t="n">
        <v>9</v>
      </c>
      <c r="B13" s="8" t="s">
        <v>120</v>
      </c>
      <c r="C13" s="22" t="n">
        <v>31</v>
      </c>
      <c r="D13" s="26" t="n">
        <f aca="false">航海図!$C$3+C13-1</f>
        <v>46330</v>
      </c>
      <c r="E13" s="20"/>
      <c r="F13" s="27"/>
    </row>
    <row r="14" customFormat="false" ht="15" hidden="false" customHeight="false" outlineLevel="0" collapsed="false">
      <c r="A14" s="22" t="n">
        <v>10</v>
      </c>
      <c r="B14" s="8" t="s">
        <v>121</v>
      </c>
      <c r="C14" s="22" t="n">
        <v>45</v>
      </c>
      <c r="D14" s="26" t="n">
        <f aca="false">航海図!$C$3+C14-1</f>
        <v>46344</v>
      </c>
      <c r="E14" s="20"/>
      <c r="F14" s="27"/>
    </row>
    <row r="15" customFormat="false" ht="15" hidden="false" customHeight="false" outlineLevel="0" collapsed="false">
      <c r="A15" s="22" t="n">
        <v>11</v>
      </c>
      <c r="B15" s="8" t="s">
        <v>122</v>
      </c>
      <c r="C15" s="22" t="n">
        <v>60</v>
      </c>
      <c r="D15" s="26" t="n">
        <f aca="false">航海図!$C$3+C15-1</f>
        <v>46359</v>
      </c>
      <c r="E15" s="20"/>
      <c r="F15" s="27"/>
    </row>
    <row r="16" customFormat="false" ht="15" hidden="false" customHeight="false" outlineLevel="0" collapsed="false">
      <c r="A16" s="22" t="n">
        <v>12</v>
      </c>
      <c r="B16" s="8" t="s">
        <v>123</v>
      </c>
      <c r="C16" s="22" t="n">
        <v>60</v>
      </c>
      <c r="D16" s="26" t="n">
        <f aca="false">航海図!$C$3+C16-1</f>
        <v>46359</v>
      </c>
      <c r="E16" s="20"/>
      <c r="F16" s="27"/>
    </row>
    <row r="17" customFormat="false" ht="15" hidden="false" customHeight="false" outlineLevel="0" collapsed="false">
      <c r="A17" s="22" t="n">
        <v>13</v>
      </c>
      <c r="B17" s="8" t="s">
        <v>124</v>
      </c>
      <c r="C17" s="22" t="n">
        <v>70</v>
      </c>
      <c r="D17" s="26" t="n">
        <f aca="false">航海図!$C$3+C17-1</f>
        <v>46369</v>
      </c>
      <c r="E17" s="20"/>
      <c r="F17" s="27"/>
    </row>
    <row r="18" customFormat="false" ht="15" hidden="false" customHeight="false" outlineLevel="0" collapsed="false">
      <c r="A18" s="22" t="n">
        <v>14</v>
      </c>
      <c r="B18" s="8" t="s">
        <v>125</v>
      </c>
      <c r="C18" s="22" t="n">
        <v>80</v>
      </c>
      <c r="D18" s="26" t="n">
        <f aca="false">航海図!$C$3+C18-1</f>
        <v>46379</v>
      </c>
      <c r="E18" s="20"/>
      <c r="F18" s="27"/>
    </row>
    <row r="19" customFormat="false" ht="15" hidden="false" customHeight="false" outlineLevel="0" collapsed="false">
      <c r="A19" s="22" t="n">
        <v>15</v>
      </c>
      <c r="B19" s="28" t="s">
        <v>126</v>
      </c>
      <c r="C19" s="22" t="n">
        <v>75</v>
      </c>
      <c r="D19" s="26" t="n">
        <f aca="false">航海図!$C$3+C19-1</f>
        <v>46374</v>
      </c>
      <c r="E19" s="20"/>
      <c r="F19" s="27"/>
    </row>
    <row r="20" customFormat="false" ht="15" hidden="false" customHeight="false" outlineLevel="0" collapsed="false">
      <c r="A20" s="22" t="n">
        <v>16</v>
      </c>
      <c r="B20" s="28" t="s">
        <v>127</v>
      </c>
      <c r="C20" s="22" t="n">
        <v>84</v>
      </c>
      <c r="D20" s="26" t="n">
        <f aca="false">航海図!$C$3+C20-1</f>
        <v>46383</v>
      </c>
      <c r="E20" s="20"/>
      <c r="F20" s="27"/>
    </row>
    <row r="21" customFormat="false" ht="15" hidden="false" customHeight="false" outlineLevel="0" collapsed="false">
      <c r="A21" s="22" t="n">
        <v>17</v>
      </c>
      <c r="B21" s="28" t="s">
        <v>128</v>
      </c>
      <c r="C21" s="22" t="n">
        <v>90</v>
      </c>
      <c r="D21" s="26" t="n">
        <f aca="false">航海図!$C$3+C21-1</f>
        <v>46389</v>
      </c>
      <c r="E21" s="20"/>
      <c r="F21" s="27"/>
    </row>
    <row r="23" customFormat="false" ht="15" hidden="false" customHeight="false" outlineLevel="0" collapsed="false">
      <c r="B23" s="29" t="s">
        <v>129</v>
      </c>
    </row>
  </sheetData>
  <conditionalFormatting sqref="A5:F21">
    <cfRule type="expression" priority="2" aboveAverage="0" equalAverage="0" bottom="0" percent="0" rank="0" text="" dxfId="1">
      <formula>$E5="✓"</formula>
    </cfRule>
  </conditionalFormatting>
  <dataValidations count="1">
    <dataValidation allowBlank="true" errorStyle="stop" operator="between" showDropDown="false" showErrorMessage="false" showInputMessage="false" sqref="E5:E21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2026-10-04T18:44:24Z</dcterms:created>
  <dc:creator>openpyxl</dc:creator>
  <dc:description/>
  <dc:language>en-US</dc:language>
  <cp:lastModifiedBy/>
  <dcterms:modified xsi:type="dcterms:W3CDTF">2026-10-04T18:44:24Z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