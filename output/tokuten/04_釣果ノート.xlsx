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記録" sheetId="3" state="visible" r:id="rId5"/>
    <sheet name="型別分析" sheetId="4" state="visible" r:id="rId6"/>
    <sheet name="週次ふりかえり" sheetId="5" state="visible" r:id="rId7"/>
    <sheet name="魚拓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<sst xmlns="http://schemas.openxmlformats.org/spreadsheetml/2006/main" count="149" uniqueCount="118">
  <si>
    <t xml:space="preserve">特典④ 釣果ノート（振り返りシート）</t>
  </si>
  <si>
    <r>
      <rPr>
        <sz val="10"/>
        <color rgb="FF595959"/>
        <rFont val="Yu Gothic"/>
        <family val="2"/>
      </rPr>
      <t xml:space="preserve">週末</t>
    </r>
    <r>
      <rPr>
        <sz val="10"/>
        <color rgb="FF595959"/>
        <rFont val="Yu Gothic"/>
        <family val="0"/>
        <charset val="1"/>
      </rPr>
      <t xml:space="preserve">10</t>
    </r>
    <r>
      <rPr>
        <sz val="10"/>
        <color rgb="FF595959"/>
        <rFont val="Yu Gothic"/>
        <family val="2"/>
      </rPr>
      <t xml:space="preserve">分。数字を入れるだけで、あなたの「効く型」と「効く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行目」が見えてきます。</t>
    </r>
  </si>
  <si>
    <t xml:space="preserve">■ シートの役割</t>
  </si>
  <si>
    <r>
      <rPr>
        <sz val="10"/>
        <color rgb="FF000000"/>
        <rFont val="Yu Gothic"/>
        <family val="2"/>
      </rPr>
      <t xml:space="preserve">・設定：釣り場と「アタリ」の判定基準を決める（最初に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回だけ）</t>
    </r>
  </si>
  <si>
    <r>
      <rPr>
        <sz val="10"/>
        <color rgb="FF000000"/>
        <rFont val="Yu Gothic"/>
        <family val="2"/>
      </rPr>
      <t xml:space="preserve">・記録：投稿ごとの数字を入れる（週末にまとめて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本分）</t>
    </r>
  </si>
  <si>
    <r>
      <rPr>
        <sz val="10"/>
        <color rgb="FF000000"/>
        <rFont val="Yu Gothic"/>
        <family val="2"/>
      </rPr>
      <t xml:space="preserve">・型別分析：どの型・どの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行目パターンが効いているかを自動集計</t>
    </r>
  </si>
  <si>
    <r>
      <rPr>
        <sz val="10"/>
        <color rgb="FF000000"/>
        <rFont val="Yu Gothic"/>
        <family val="2"/>
      </rPr>
      <t xml:space="preserve">・週次ふりかえり：</t>
    </r>
    <r>
      <rPr>
        <sz val="10"/>
        <color rgb="FF000000"/>
        <rFont val="Yu Gothic"/>
        <family val="0"/>
        <charset val="1"/>
      </rPr>
      <t xml:space="preserve">13</t>
    </r>
    <r>
      <rPr>
        <sz val="10"/>
        <color rgb="FF000000"/>
        <rFont val="Yu Gothic"/>
        <family val="2"/>
      </rPr>
      <t xml:space="preserve">週（約</t>
    </r>
    <r>
      <rPr>
        <sz val="10"/>
        <color rgb="FF000000"/>
        <rFont val="Yu Gothic"/>
        <family val="0"/>
        <charset val="1"/>
      </rPr>
      <t xml:space="preserve">90</t>
    </r>
    <r>
      <rPr>
        <sz val="10"/>
        <color rgb="FF000000"/>
        <rFont val="Yu Gothic"/>
        <family val="2"/>
      </rPr>
      <t xml:space="preserve">日）分の週ごとの成績と、来週の作戦メモ</t>
    </r>
  </si>
  <si>
    <r>
      <rPr>
        <sz val="10"/>
        <color rgb="FF000000"/>
        <rFont val="Yu Gothic"/>
        <family val="2"/>
      </rPr>
      <t xml:space="preserve">・魚拓：テーマごとのアタリ数を数え、</t>
    </r>
    <r>
      <rPr>
        <sz val="10"/>
        <color rgb="FF000000"/>
        <rFont val="Yu Gothic"/>
        <family val="0"/>
        <charset val="1"/>
      </rPr>
      <t xml:space="preserve">note</t>
    </r>
    <r>
      <rPr>
        <sz val="10"/>
        <color rgb="FF000000"/>
        <rFont val="Yu Gothic"/>
        <family val="2"/>
      </rPr>
      <t xml:space="preserve">化のタイミングを知らせる</t>
    </r>
  </si>
  <si>
    <t xml:space="preserve">■ 入力するのは黄色いセルだけ。白・灰色のセルは自動計算です</t>
  </si>
  <si>
    <t xml:space="preserve">■ 数字はどこで見る？</t>
  </si>
  <si>
    <r>
      <rPr>
        <sz val="10"/>
        <color rgb="FF000000"/>
        <rFont val="Yu Gothic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Threads</t>
    </r>
    <r>
      <rPr>
        <sz val="10"/>
        <color rgb="FF000000"/>
        <rFont val="Yu Gothic"/>
        <family val="2"/>
      </rPr>
      <t xml:space="preserve">アプリで自分の投稿を開くと、閲覧数・いいね・返信などの反応が確認できます（表示場所はアプリの更新で変わることがあります）</t>
    </r>
  </si>
  <si>
    <r>
      <rPr>
        <sz val="10"/>
        <color rgb="FF000000"/>
        <rFont val="Yu Gothic"/>
        <family val="2"/>
      </rPr>
      <t xml:space="preserve">・保存数が見られない場合は、空欄のままで</t>
    </r>
    <r>
      <rPr>
        <sz val="10"/>
        <color rgb="FF000000"/>
        <rFont val="Yu Gothic"/>
        <family val="0"/>
        <charset val="1"/>
      </rPr>
      <t xml:space="preserve">OK</t>
    </r>
    <r>
      <rPr>
        <sz val="10"/>
        <color rgb="FF000000"/>
        <rFont val="Yu Gothic"/>
        <family val="2"/>
      </rPr>
      <t xml:space="preserve">。コメント数だけでもアタリは判定できます</t>
    </r>
  </si>
  <si>
    <r>
      <rPr>
        <sz val="10"/>
        <color rgb="FF000000"/>
        <rFont val="Yu Gothic"/>
        <family val="2"/>
      </rPr>
      <t xml:space="preserve">・クリック数は、楽天アフィリエイトの管理画面のレポートで確認できる範囲で入れてください（わからなければ空欄で</t>
    </r>
    <r>
      <rPr>
        <sz val="10"/>
        <color rgb="FF000000"/>
        <rFont val="Yu Gothic"/>
        <family val="0"/>
        <charset val="1"/>
      </rPr>
      <t xml:space="preserve">OK</t>
    </r>
    <r>
      <rPr>
        <sz val="10"/>
        <color rgb="FF000000"/>
        <rFont val="Yu Gothic"/>
        <family val="2"/>
      </rPr>
      <t xml:space="preserve">）</t>
    </r>
  </si>
  <si>
    <r>
      <rPr>
        <b val="true"/>
        <sz val="12"/>
        <color rgb="FF1F3A5F"/>
        <rFont val="Yu Gothic"/>
        <family val="2"/>
      </rPr>
      <t xml:space="preserve">■ 記入例（「記録」シートの</t>
    </r>
    <r>
      <rPr>
        <b val="true"/>
        <sz val="12"/>
        <color rgb="FF1F3A5F"/>
        <rFont val="Yu Gothic"/>
        <family val="0"/>
        <charset val="1"/>
      </rPr>
      <t xml:space="preserve">6</t>
    </r>
    <r>
      <rPr>
        <b val="true"/>
        <sz val="12"/>
        <color rgb="FF1F3A5F"/>
        <rFont val="Yu Gothic"/>
        <family val="2"/>
      </rPr>
      <t xml:space="preserve">行目から、この形で入れます）</t>
    </r>
  </si>
  <si>
    <t xml:space="preserve">投稿日</t>
  </si>
  <si>
    <t xml:space="preserve">型</t>
  </si>
  <si>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行目パターン</t>
    </r>
  </si>
  <si>
    <t xml:space="preserve">テーマ（魚拓用）</t>
  </si>
  <si>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行目</t>
    </r>
  </si>
  <si>
    <t xml:space="preserve">閲覧</t>
  </si>
  <si>
    <t xml:space="preserve">いいね</t>
  </si>
  <si>
    <t xml:space="preserve">保存</t>
  </si>
  <si>
    <t xml:space="preserve">コメント</t>
  </si>
  <si>
    <t xml:space="preserve">リンク</t>
  </si>
  <si>
    <t xml:space="preserve">クリック</t>
  </si>
  <si>
    <t xml:space="preserve">気づき</t>
  </si>
  <si>
    <t xml:space="preserve">2026/10/05</t>
  </si>
  <si>
    <t xml:space="preserve">場面→工夫型</t>
  </si>
  <si>
    <t xml:space="preserve">①場面の独り言</t>
  </si>
  <si>
    <t xml:space="preserve">平日の夕飯</t>
  </si>
  <si>
    <r>
      <rPr>
        <sz val="10"/>
        <color rgb="FF000000"/>
        <rFont val="Yu Gothic"/>
        <family val="2"/>
      </rPr>
      <t xml:space="preserve">月曜</t>
    </r>
    <r>
      <rPr>
        <sz val="10"/>
        <color rgb="FF000000"/>
        <rFont val="Yu Gothic"/>
        <family val="0"/>
        <charset val="1"/>
      </rPr>
      <t xml:space="preserve">19</t>
    </r>
    <r>
      <rPr>
        <sz val="10"/>
        <color rgb="FF000000"/>
        <rFont val="Yu Gothic"/>
        <family val="2"/>
      </rPr>
      <t xml:space="preserve">時、冷蔵庫の前で立ち尽くすの、私だけ？</t>
    </r>
  </si>
  <si>
    <t xml:space="preserve">はい</t>
  </si>
  <si>
    <r>
      <rPr>
        <sz val="10"/>
        <color rgb="FF000000"/>
        <rFont val="Yu Gothic"/>
        <family val="2"/>
      </rPr>
      <t xml:space="preserve">時刻入りの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行目が強い。日曜の下ごしらえネタは保存される</t>
    </r>
  </si>
  <si>
    <r>
      <rPr>
        <b val="true"/>
        <sz val="12"/>
        <color rgb="FF1F3A5F"/>
        <rFont val="Yu Gothic"/>
        <family val="2"/>
      </rPr>
      <t xml:space="preserve">■ 週末</t>
    </r>
    <r>
      <rPr>
        <b val="true"/>
        <sz val="12"/>
        <color rgb="FF1F3A5F"/>
        <rFont val="Yu Gothic"/>
        <family val="0"/>
        <charset val="1"/>
      </rPr>
      <t xml:space="preserve">10</t>
    </r>
    <r>
      <rPr>
        <b val="true"/>
        <sz val="12"/>
        <color rgb="FF1F3A5F"/>
        <rFont val="Yu Gothic"/>
        <family val="2"/>
      </rPr>
      <t xml:space="preserve">分の使い方</t>
    </r>
  </si>
  <si>
    <r>
      <rPr>
        <sz val="10"/>
        <color rgb="FF000000"/>
        <rFont val="Yu Gothic"/>
        <family val="0"/>
        <charset val="1"/>
      </rPr>
      <t xml:space="preserve">1. </t>
    </r>
    <r>
      <rPr>
        <sz val="10"/>
        <color rgb="FF000000"/>
        <rFont val="Yu Gothic"/>
        <family val="2"/>
      </rPr>
      <t xml:space="preserve">「記録」に今週の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本の数字を入れる（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分）</t>
    </r>
  </si>
  <si>
    <r>
      <rPr>
        <sz val="10"/>
        <color rgb="FF000000"/>
        <rFont val="Yu Gothic"/>
        <family val="0"/>
        <charset val="1"/>
      </rPr>
      <t xml:space="preserve">2. </t>
    </r>
    <r>
      <rPr>
        <sz val="10"/>
        <color rgb="FF000000"/>
        <rFont val="Yu Gothic"/>
        <family val="2"/>
      </rPr>
      <t xml:space="preserve">「週次ふりかえり」で今週の行を見る。アタリ数とベスト投稿を確認（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分）</t>
    </r>
  </si>
  <si>
    <r>
      <rPr>
        <sz val="10"/>
        <color rgb="FF000000"/>
        <rFont val="Yu Gothic"/>
        <family val="0"/>
        <charset val="1"/>
      </rPr>
      <t xml:space="preserve">3. </t>
    </r>
    <r>
      <rPr>
        <sz val="10"/>
        <color rgb="FF000000"/>
        <rFont val="Yu Gothic"/>
        <family val="2"/>
      </rPr>
      <t xml:space="preserve">「続ける／やめる／試す」を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つずつ書く（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分）</t>
    </r>
  </si>
  <si>
    <r>
      <rPr>
        <sz val="10"/>
        <color rgb="FF000000"/>
        <rFont val="Yu Gothic"/>
        <family val="2"/>
      </rPr>
      <t xml:space="preserve">   迷ったら、今週の記録をコピーして特典①の「応用</t>
    </r>
    <r>
      <rPr>
        <sz val="10"/>
        <color rgb="FF000000"/>
        <rFont val="Yu Gothic"/>
        <family val="0"/>
        <charset val="1"/>
      </rPr>
      <t xml:space="preserve">G </t>
    </r>
    <r>
      <rPr>
        <sz val="10"/>
        <color rgb="FF000000"/>
        <rFont val="Yu Gothic"/>
        <family val="2"/>
      </rPr>
      <t xml:space="preserve">釣果ノートの週次分析」に貼ると、</t>
    </r>
    <r>
      <rPr>
        <sz val="10"/>
        <color rgb="FF000000"/>
        <rFont val="Yu Gothic"/>
        <family val="0"/>
        <charset val="1"/>
      </rPr>
      <t xml:space="preserve">AI</t>
    </r>
    <r>
      <rPr>
        <sz val="10"/>
        <color rgb="FF000000"/>
        <rFont val="Yu Gothic"/>
        <family val="2"/>
      </rPr>
      <t xml:space="preserve">が仮説を出してくれます</t>
    </r>
  </si>
  <si>
    <t xml:space="preserve">■ 「アタリ」の判定について</t>
  </si>
  <si>
    <r>
      <rPr>
        <sz val="10"/>
        <color rgb="FF000000"/>
        <rFont val="Yu Gothic"/>
        <family val="2"/>
      </rPr>
      <t xml:space="preserve">・アタリ＝「育てる価値がある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本」。設定シートの基準のどれか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つを満たすと自動で ○ になります</t>
    </r>
  </si>
  <si>
    <t xml:space="preserve">・最初の数週間は数字が小さいのが普通です。基準は、あなたのアカウントの規模に合わせて下げてかまいません</t>
  </si>
  <si>
    <r>
      <rPr>
        <sz val="10"/>
        <color rgb="FF000000"/>
        <rFont val="Yu Gothic"/>
        <family val="2"/>
      </rPr>
      <t xml:space="preserve">・目安：最初は「保存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以上」または「コメント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以上」くらいから。慣れてきたら上げていきましょう</t>
    </r>
  </si>
  <si>
    <t xml:space="preserve">設定</t>
  </si>
  <si>
    <r>
      <rPr>
        <sz val="10"/>
        <color rgb="FF595959"/>
        <rFont val="Yu Gothic"/>
        <family val="2"/>
      </rPr>
      <t xml:space="preserve">最初に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回だけ。黄色いセルを書き換えてください</t>
    </r>
  </si>
  <si>
    <t xml:space="preserve">項目</t>
  </si>
  <si>
    <t xml:space="preserve">値</t>
  </si>
  <si>
    <t xml:space="preserve">メモ</t>
  </si>
  <si>
    <t xml:space="preserve">釣り場（発信テーマ）</t>
  </si>
  <si>
    <r>
      <rPr>
        <sz val="10"/>
        <color rgb="FF000000"/>
        <rFont val="Yu Gothic"/>
        <family val="2"/>
      </rPr>
      <t xml:space="preserve">例：フルタイムで働く親が、平日の夕飯を</t>
    </r>
    <r>
      <rPr>
        <sz val="10"/>
        <color rgb="FF000000"/>
        <rFont val="Yu Gothic"/>
        <family val="0"/>
        <charset val="1"/>
      </rPr>
      <t xml:space="preserve">15</t>
    </r>
    <r>
      <rPr>
        <sz val="10"/>
        <color rgb="FF000000"/>
        <rFont val="Yu Gothic"/>
        <family val="2"/>
      </rPr>
      <t xml:space="preserve">分で終わらせるための工夫を発信する</t>
    </r>
  </si>
  <si>
    <r>
      <rPr>
        <sz val="10"/>
        <color rgb="FF000000"/>
        <rFont val="Yu Gothic"/>
        <family val="2"/>
      </rPr>
      <t xml:space="preserve">釣り場の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行（本編 第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Yu Gothic"/>
        <family val="2"/>
      </rPr>
      <t xml:space="preserve">章）</t>
    </r>
  </si>
  <si>
    <t xml:space="preserve">運用開始日</t>
  </si>
  <si>
    <r>
      <rPr>
        <sz val="10"/>
        <color rgb="FF000000"/>
        <rFont val="Yu Gothic"/>
        <family val="2"/>
      </rPr>
      <t xml:space="preserve">週番号の計算に使います。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本目を投稿した日</t>
    </r>
  </si>
  <si>
    <t xml:space="preserve">アタリ基準：保存数がこれ以上</t>
  </si>
  <si>
    <t xml:space="preserve">アカウントの規模に合わせて調整（初期値は仮の目安です）</t>
  </si>
  <si>
    <t xml:space="preserve">アタリ基準：コメント数がこれ以上</t>
  </si>
  <si>
    <t xml:space="preserve">同上</t>
  </si>
  <si>
    <r>
      <rPr>
        <sz val="10"/>
        <color rgb="FF000000"/>
        <rFont val="Yu Gothic"/>
        <family val="2"/>
      </rPr>
      <t xml:space="preserve">アタリ基準：保存率（保存</t>
    </r>
    <r>
      <rPr>
        <sz val="10"/>
        <color rgb="FF000000"/>
        <rFont val="Yu Gothic"/>
        <family val="0"/>
        <charset val="1"/>
      </rPr>
      <t xml:space="preserve">÷</t>
    </r>
    <r>
      <rPr>
        <sz val="10"/>
        <color rgb="FF000000"/>
        <rFont val="Yu Gothic"/>
        <family val="2"/>
      </rPr>
      <t xml:space="preserve">閲覧）がこれ以上</t>
    </r>
  </si>
  <si>
    <t xml:space="preserve">同上。閲覧が少ないうちは保存率が高く出やすい点に注意</t>
  </si>
  <si>
    <r>
      <rPr>
        <sz val="10"/>
        <color rgb="FF000000"/>
        <rFont val="Yu Gothic"/>
        <family val="2"/>
      </rPr>
      <t xml:space="preserve">魚拓の目標数（</t>
    </r>
    <r>
      <rPr>
        <sz val="10"/>
        <color rgb="FF000000"/>
        <rFont val="Yu Gothic"/>
        <family val="0"/>
        <charset val="1"/>
      </rPr>
      <t xml:space="preserve">note</t>
    </r>
    <r>
      <rPr>
        <sz val="10"/>
        <color rgb="FF000000"/>
        <rFont val="Yu Gothic"/>
        <family val="2"/>
      </rPr>
      <t xml:space="preserve">化のサイン）</t>
    </r>
  </si>
  <si>
    <r>
      <rPr>
        <sz val="10"/>
        <color rgb="FF000000"/>
        <rFont val="Yu Gothic"/>
        <family val="2"/>
      </rPr>
      <t xml:space="preserve">本編 第</t>
    </r>
    <r>
      <rPr>
        <sz val="10"/>
        <color rgb="FF000000"/>
        <rFont val="Yu Gothic"/>
        <family val="0"/>
        <charset val="1"/>
      </rPr>
      <t xml:space="preserve">6</t>
    </r>
    <r>
      <rPr>
        <sz val="10"/>
        <color rgb="FF000000"/>
        <rFont val="Yu Gothic"/>
        <family val="2"/>
      </rPr>
      <t xml:space="preserve">章：同じテーマのアタリが</t>
    </r>
    <r>
      <rPr>
        <sz val="10"/>
        <color rgb="FF000000"/>
        <rFont val="Yu Gothic"/>
        <family val="0"/>
        <charset val="1"/>
      </rPr>
      <t xml:space="preserve">5</t>
    </r>
    <r>
      <rPr>
        <sz val="10"/>
        <color rgb="FF000000"/>
        <rFont val="Yu Gothic"/>
        <family val="2"/>
      </rPr>
      <t xml:space="preserve">本</t>
    </r>
  </si>
  <si>
    <t xml:space="preserve">記録</t>
  </si>
  <si>
    <r>
      <rPr>
        <sz val="10"/>
        <color rgb="FF595959"/>
        <rFont val="Yu Gothic"/>
        <family val="2"/>
      </rPr>
      <t xml:space="preserve">黄色＝入力／白＝自動計算。週末に</t>
    </r>
    <r>
      <rPr>
        <sz val="10"/>
        <color rgb="FF595959"/>
        <rFont val="Yu Gothic"/>
        <family val="0"/>
        <charset val="1"/>
      </rPr>
      <t xml:space="preserve">5</t>
    </r>
    <r>
      <rPr>
        <sz val="10"/>
        <color rgb="FF595959"/>
        <rFont val="Yu Gothic"/>
        <family val="2"/>
      </rPr>
      <t xml:space="preserve">本分まとめて入れれば</t>
    </r>
    <r>
      <rPr>
        <sz val="10"/>
        <color rgb="FF595959"/>
        <rFont val="Yu Gothic"/>
        <family val="0"/>
        <charset val="1"/>
      </rPr>
      <t xml:space="preserve">OK</t>
    </r>
  </si>
  <si>
    <t xml:space="preserve">アタリ＝設定シートの基準（保存数・コメント数・保存率）のどれかを満たした投稿。オレンジ色になります</t>
  </si>
  <si>
    <t xml:space="preserve">No</t>
  </si>
  <si>
    <t xml:space="preserve">曜日</t>
  </si>
  <si>
    <t xml:space="preserve">週</t>
  </si>
  <si>
    <t xml:space="preserve">リンク置いた？</t>
  </si>
  <si>
    <t xml:space="preserve">保存率</t>
  </si>
  <si>
    <t xml:space="preserve">アタリ</t>
  </si>
  <si>
    <r>
      <rPr>
        <b val="true"/>
        <sz val="10"/>
        <color rgb="FFFFFFFF"/>
        <rFont val="Yu Gothic"/>
        <family val="2"/>
      </rPr>
      <t xml:space="preserve">気づき（</t>
    </r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行）</t>
    </r>
  </si>
  <si>
    <t xml:space="preserve">_key</t>
  </si>
  <si>
    <t xml:space="preserve">型別分析</t>
  </si>
  <si>
    <r>
      <rPr>
        <sz val="10"/>
        <color rgb="FF595959"/>
        <rFont val="Yu Gothic"/>
        <family val="2"/>
      </rPr>
      <t xml:space="preserve">どの型・どの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行目が効いているか。投稿数が</t>
    </r>
    <r>
      <rPr>
        <sz val="10"/>
        <color rgb="FF595959"/>
        <rFont val="Yu Gothic"/>
        <family val="0"/>
        <charset val="1"/>
      </rPr>
      <t xml:space="preserve">3</t>
    </r>
    <r>
      <rPr>
        <sz val="10"/>
        <color rgb="FF595959"/>
        <rFont val="Yu Gothic"/>
        <family val="2"/>
      </rPr>
      <t xml:space="preserve">本以上たまってから見るのがおすすめです</t>
    </r>
  </si>
  <si>
    <t xml:space="preserve">投稿数</t>
  </si>
  <si>
    <t xml:space="preserve">アタリ数</t>
  </si>
  <si>
    <t xml:space="preserve">アタリ率</t>
  </si>
  <si>
    <t xml:space="preserve">平均閲覧</t>
  </si>
  <si>
    <t xml:space="preserve">平均保存</t>
  </si>
  <si>
    <t xml:space="preserve">平均コメント</t>
  </si>
  <si>
    <t xml:space="preserve">平均保存率</t>
  </si>
  <si>
    <t xml:space="preserve">判定</t>
  </si>
  <si>
    <t xml:space="preserve">ビフォーアフター型</t>
  </si>
  <si>
    <t xml:space="preserve">失敗談型</t>
  </si>
  <si>
    <t xml:space="preserve">比べてみた型</t>
  </si>
  <si>
    <t xml:space="preserve">問いかけ型</t>
  </si>
  <si>
    <t xml:space="preserve">お返事投稿</t>
  </si>
  <si>
    <t xml:space="preserve">②本音の告白</t>
  </si>
  <si>
    <t xml:space="preserve">③小さな数字</t>
  </si>
  <si>
    <t xml:space="preserve">④意外な否定</t>
  </si>
  <si>
    <t xml:space="preserve">⑤問いかけ</t>
  </si>
  <si>
    <t xml:space="preserve">クリック合計</t>
  </si>
  <si>
    <r>
      <rPr>
        <b val="true"/>
        <sz val="10"/>
        <color rgb="FFFFFFFF"/>
        <rFont val="Yu Gothic"/>
        <family val="0"/>
        <charset val="1"/>
      </rPr>
      <t xml:space="preserve">1</t>
    </r>
    <r>
      <rPr>
        <b val="true"/>
        <sz val="10"/>
        <color rgb="FFFFFFFF"/>
        <rFont val="Yu Gothic"/>
        <family val="2"/>
      </rPr>
      <t xml:space="preserve">本あたりクリック</t>
    </r>
  </si>
  <si>
    <t xml:space="preserve">リンクあり</t>
  </si>
  <si>
    <t xml:space="preserve">リンクなし</t>
  </si>
  <si>
    <t xml:space="preserve">■ 判定の目安（仮の基準です）</t>
  </si>
  <si>
    <r>
      <rPr>
        <sz val="10"/>
        <color rgb="FF000000"/>
        <rFont val="Yu Gothic"/>
        <family val="2"/>
      </rPr>
      <t xml:space="preserve">・アタリ率</t>
    </r>
    <r>
      <rPr>
        <sz val="10"/>
        <color rgb="FF000000"/>
        <rFont val="Yu Gothic"/>
        <family val="0"/>
        <charset val="1"/>
      </rPr>
      <t xml:space="preserve">40%</t>
    </r>
    <r>
      <rPr>
        <sz val="10"/>
        <color rgb="FF000000"/>
        <rFont val="Yu Gothic"/>
        <family val="2"/>
      </rPr>
      <t xml:space="preserve">以上＝◎／</t>
    </r>
    <r>
      <rPr>
        <sz val="10"/>
        <color rgb="FF000000"/>
        <rFont val="Yu Gothic"/>
        <family val="0"/>
        <charset val="1"/>
      </rPr>
      <t xml:space="preserve">20%</t>
    </r>
    <r>
      <rPr>
        <sz val="10"/>
        <color rgb="FF000000"/>
        <rFont val="Yu Gothic"/>
        <family val="2"/>
      </rPr>
      <t xml:space="preserve">以上＝○／それ未満＝△。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Yu Gothic"/>
        <family val="2"/>
      </rPr>
      <t xml:space="preserve">本未満は判定しません</t>
    </r>
  </si>
  <si>
    <r>
      <rPr>
        <sz val="10"/>
        <color rgb="FF000000"/>
        <rFont val="Yu Gothic"/>
        <family val="2"/>
      </rPr>
      <t xml:space="preserve">・△の型は、やめる前に「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行目」と「場面（いつ・どこで）」を見直してから、もう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Yu Gothic"/>
        <family val="2"/>
      </rPr>
      <t xml:space="preserve">週試しましょう</t>
    </r>
  </si>
  <si>
    <r>
      <rPr>
        <b val="true"/>
        <sz val="16"/>
        <color rgb="FF1F3A5F"/>
        <rFont val="Yu Gothic"/>
        <family val="2"/>
      </rPr>
      <t xml:space="preserve">週次ふりかえり（</t>
    </r>
    <r>
      <rPr>
        <b val="true"/>
        <sz val="16"/>
        <color rgb="FF1F3A5F"/>
        <rFont val="Yu Gothic"/>
        <family val="0"/>
        <charset val="1"/>
      </rPr>
      <t xml:space="preserve">13</t>
    </r>
    <r>
      <rPr>
        <b val="true"/>
        <sz val="16"/>
        <color rgb="FF1F3A5F"/>
        <rFont val="Yu Gothic"/>
        <family val="2"/>
      </rPr>
      <t xml:space="preserve">週＝約</t>
    </r>
    <r>
      <rPr>
        <b val="true"/>
        <sz val="16"/>
        <color rgb="FF1F3A5F"/>
        <rFont val="Yu Gothic"/>
        <family val="0"/>
        <charset val="1"/>
      </rPr>
      <t xml:space="preserve">90</t>
    </r>
    <r>
      <rPr>
        <b val="true"/>
        <sz val="16"/>
        <color rgb="FF1F3A5F"/>
        <rFont val="Yu Gothic"/>
        <family val="2"/>
      </rPr>
      <t xml:space="preserve">日）</t>
    </r>
  </si>
  <si>
    <r>
      <rPr>
        <sz val="10"/>
        <color rgb="FF595959"/>
        <rFont val="Yu Gothic"/>
        <family val="2"/>
      </rPr>
      <t xml:space="preserve">左側は自動集計。右側の黄色に「続ける／やめる／試す」を</t>
    </r>
    <r>
      <rPr>
        <sz val="10"/>
        <color rgb="FF595959"/>
        <rFont val="Yu Gothic"/>
        <family val="0"/>
        <charset val="1"/>
      </rPr>
      <t xml:space="preserve">1</t>
    </r>
    <r>
      <rPr>
        <sz val="10"/>
        <color rgb="FF595959"/>
        <rFont val="Yu Gothic"/>
        <family val="2"/>
      </rPr>
      <t xml:space="preserve">つずつ書きます</t>
    </r>
  </si>
  <si>
    <t xml:space="preserve">開始日</t>
  </si>
  <si>
    <t xml:space="preserve">終了日</t>
  </si>
  <si>
    <t xml:space="preserve">保存合計</t>
  </si>
  <si>
    <t xml:space="preserve">コメント合計</t>
  </si>
  <si>
    <t xml:space="preserve">今週のベスト投稿（保存最多）</t>
  </si>
  <si>
    <t xml:space="preserve">続けること</t>
  </si>
  <si>
    <t xml:space="preserve">やめること</t>
  </si>
  <si>
    <t xml:space="preserve">試すこと</t>
  </si>
  <si>
    <t xml:space="preserve">合計</t>
  </si>
  <si>
    <r>
      <rPr>
        <b val="true"/>
        <sz val="16"/>
        <color rgb="FF1F3A5F"/>
        <rFont val="Yu Gothic"/>
        <family val="2"/>
      </rPr>
      <t xml:space="preserve">魚拓（</t>
    </r>
    <r>
      <rPr>
        <b val="true"/>
        <sz val="16"/>
        <color rgb="FF1F3A5F"/>
        <rFont val="Yu Gothic"/>
        <family val="0"/>
        <charset val="1"/>
      </rPr>
      <t xml:space="preserve">note</t>
    </r>
    <r>
      <rPr>
        <b val="true"/>
        <sz val="16"/>
        <color rgb="FF1F3A5F"/>
        <rFont val="Yu Gothic"/>
        <family val="2"/>
      </rPr>
      <t xml:space="preserve">化のサイン）</t>
    </r>
  </si>
  <si>
    <r>
      <rPr>
        <sz val="10"/>
        <color rgb="FF595959"/>
        <rFont val="Yu Gothic"/>
        <family val="2"/>
      </rPr>
      <t xml:space="preserve">同じテーマのアタリが目標数（初期値</t>
    </r>
    <r>
      <rPr>
        <sz val="10"/>
        <color rgb="FF595959"/>
        <rFont val="Yu Gothic"/>
        <family val="0"/>
        <charset val="1"/>
      </rPr>
      <t xml:space="preserve">5</t>
    </r>
    <r>
      <rPr>
        <sz val="10"/>
        <color rgb="FF595959"/>
        <rFont val="Yu Gothic"/>
        <family val="2"/>
      </rPr>
      <t xml:space="preserve">本）たまったら、</t>
    </r>
    <r>
      <rPr>
        <sz val="10"/>
        <color rgb="FF595959"/>
        <rFont val="Yu Gothic"/>
        <family val="0"/>
        <charset val="1"/>
      </rPr>
      <t xml:space="preserve">note</t>
    </r>
    <r>
      <rPr>
        <sz val="10"/>
        <color rgb="FF595959"/>
        <rFont val="Yu Gothic"/>
        <family val="2"/>
      </rPr>
      <t xml:space="preserve">を作るタイミングです（本編 第</t>
    </r>
    <r>
      <rPr>
        <sz val="10"/>
        <color rgb="FF595959"/>
        <rFont val="Yu Gothic"/>
        <family val="0"/>
        <charset val="1"/>
      </rPr>
      <t xml:space="preserve">6</t>
    </r>
    <r>
      <rPr>
        <sz val="10"/>
        <color rgb="FF595959"/>
        <rFont val="Yu Gothic"/>
        <family val="2"/>
      </rPr>
      <t xml:space="preserve">章）</t>
    </r>
  </si>
  <si>
    <t xml:space="preserve">テーマ（記録シートと同じ言葉で）</t>
  </si>
  <si>
    <t xml:space="preserve">アタリ数（魚拓）</t>
  </si>
  <si>
    <t xml:space="preserve">目標まで</t>
  </si>
  <si>
    <t xml:space="preserve">「もっと知りたい」コメントあった？</t>
  </si>
  <si>
    <t xml:space="preserve">別の型でもアタリ？</t>
  </si>
  <si>
    <t xml:space="preserve">サイン</t>
  </si>
  <si>
    <t xml:space="preserve">次の一手</t>
  </si>
  <si>
    <r>
      <rPr>
        <sz val="9"/>
        <color rgb="FF595959"/>
        <rFont val="Yu Gothic"/>
        <family val="2"/>
      </rPr>
      <t xml:space="preserve">サイン＝「魚拓が目標数」「もっと知りたいコメント」「別の型でもアタリ」の</t>
    </r>
    <r>
      <rPr>
        <sz val="9"/>
        <color rgb="FF595959"/>
        <rFont val="Yu Gothic"/>
        <family val="0"/>
        <charset val="1"/>
      </rPr>
      <t xml:space="preserve">3</t>
    </r>
    <r>
      <rPr>
        <sz val="9"/>
        <color rgb="FF595959"/>
        <rFont val="Yu Gothic"/>
        <family val="2"/>
      </rPr>
      <t xml:space="preserve">つのうち、当てはまる数。</t>
    </r>
    <r>
      <rPr>
        <sz val="9"/>
        <color rgb="FF595959"/>
        <rFont val="Yu Gothic"/>
        <family val="0"/>
        <charset val="1"/>
      </rPr>
      <t xml:space="preserve">2</t>
    </r>
    <r>
      <rPr>
        <sz val="9"/>
        <color rgb="FF595959"/>
        <rFont val="Yu Gothic"/>
        <family val="2"/>
      </rPr>
      <t xml:space="preserve">つ以上で</t>
    </r>
    <r>
      <rPr>
        <sz val="9"/>
        <color rgb="FF595959"/>
        <rFont val="Yu Gothic"/>
        <family val="0"/>
        <charset val="1"/>
      </rPr>
      <t xml:space="preserve">note</t>
    </r>
    <r>
      <rPr>
        <sz val="9"/>
        <color rgb="FF595959"/>
        <rFont val="Yu Gothic"/>
        <family val="2"/>
      </rPr>
      <t xml:space="preserve">化のサインです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</si>
</sst>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0.0%"/>
    <numFmt numFmtId="167" formatCode="0%"/>
    <numFmt numFmtId="168" formatCode="0.0"/>
    <numFmt numFmtId="169" formatCode="mm/dd"/>
    <numFmt numFmtId="170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Yu Gothic"/>
      <family val="2"/>
    </font>
    <font>
      <sz val="10"/>
      <color rgb="FF595959"/>
      <name val="Yu Gothic"/>
      <family val="2"/>
    </font>
    <font>
      <sz val="10"/>
      <color rgb="FF595959"/>
      <name val="Yu Gothic"/>
      <family val="0"/>
      <charset val="1"/>
    </font>
    <font>
      <b val="true"/>
      <sz val="12"/>
      <color rgb="FF1F3A5F"/>
      <name val="Yu Gothic"/>
      <family val="2"/>
    </font>
    <font>
      <sz val="10"/>
      <color rgb="FF000000"/>
      <name val="Yu Gothic"/>
      <family val="2"/>
    </font>
    <font>
      <sz val="10"/>
      <color rgb="FF000000"/>
      <name val="Yu Gothic"/>
      <family val="0"/>
      <charset val="1"/>
    </font>
    <font>
      <b val="true"/>
      <sz val="12"/>
      <color rgb="FF1F3A5F"/>
      <name val="Yu Gothic"/>
      <family val="0"/>
      <charset val="1"/>
    </font>
    <font>
      <b val="true"/>
      <sz val="10"/>
      <color rgb="FFFFFFFF"/>
      <name val="Yu Gothic"/>
      <family val="2"/>
    </font>
    <font>
      <b val="true"/>
      <sz val="10"/>
      <color rgb="FFFFFFFF"/>
      <name val="Yu Gothic"/>
      <family val="0"/>
      <charset val="1"/>
    </font>
    <font>
      <sz val="9"/>
      <color rgb="FF595959"/>
      <name val="Yu Gothic"/>
      <family val="2"/>
    </font>
    <font>
      <sz val="8"/>
      <color rgb="FFBFBFBF"/>
      <name val="Yu Gothic"/>
      <family val="0"/>
      <charset val="1"/>
    </font>
    <font>
      <b val="true"/>
      <sz val="16"/>
      <color rgb="FF1F3A5F"/>
      <name val="Yu Gothic"/>
      <family val="0"/>
      <charset val="1"/>
    </font>
    <font>
      <b val="true"/>
      <sz val="10"/>
      <color rgb="FF000000"/>
      <name val="Yu Gothic"/>
      <family val="2"/>
    </font>
    <font>
      <sz val="9"/>
      <color rgb="FF595959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0E0"/>
      </patternFill>
    </fill>
    <fill>
      <patternFill patternType="solid">
        <fgColor rgb="FFFFF4C2"/>
        <bgColor rgb="FFFFF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D8A8"/>
        </patternFill>
      </fill>
    </dxf>
    <dxf>
      <fill>
        <patternFill>
          <bgColor rgb="FFFFF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0E0"/>
      <rgbColor rgb="FF99CCFF"/>
      <rgbColor rgb="FFFF99CC"/>
      <rgbColor rgb="FFCC99FF"/>
      <rgbColor rgb="FFFFD8A8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/>
    </row>
    <row r="18" customFormat="false" ht="16.4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5" t="s">
        <v>14</v>
      </c>
      <c r="B19" s="5" t="s">
        <v>15</v>
      </c>
      <c r="C19" s="6" t="s">
        <v>16</v>
      </c>
      <c r="D19" s="5" t="s">
        <v>17</v>
      </c>
      <c r="E19" s="6" t="s">
        <v>18</v>
      </c>
      <c r="F19" s="5" t="s">
        <v>19</v>
      </c>
      <c r="G19" s="5" t="s">
        <v>20</v>
      </c>
      <c r="H19" s="5" t="s">
        <v>21</v>
      </c>
      <c r="I19" s="5" t="s">
        <v>22</v>
      </c>
      <c r="J19" s="5" t="s">
        <v>23</v>
      </c>
      <c r="K19" s="5" t="s">
        <v>24</v>
      </c>
      <c r="L19" s="5" t="s">
        <v>25</v>
      </c>
    </row>
    <row r="20" customFormat="false" ht="26.85" hidden="false" customHeight="false" outlineLevel="0" collapsed="false">
      <c r="A20" s="7" t="s">
        <v>26</v>
      </c>
      <c r="B20" s="8" t="s">
        <v>27</v>
      </c>
      <c r="C20" s="8" t="s">
        <v>28</v>
      </c>
      <c r="D20" s="8" t="s">
        <v>29</v>
      </c>
      <c r="E20" s="9" t="s">
        <v>30</v>
      </c>
      <c r="F20" s="8" t="n">
        <v>1200</v>
      </c>
      <c r="G20" s="8" t="n">
        <v>34</v>
      </c>
      <c r="H20" s="8" t="n">
        <v>12</v>
      </c>
      <c r="I20" s="8" t="n">
        <v>5</v>
      </c>
      <c r="J20" s="8" t="s">
        <v>31</v>
      </c>
      <c r="K20" s="8" t="n">
        <v>8</v>
      </c>
      <c r="L20" s="9" t="s">
        <v>32</v>
      </c>
    </row>
    <row r="22" customFormat="false" ht="16.4" hidden="false" customHeight="false" outlineLevel="0" collapsed="false">
      <c r="A22" s="3" t="s">
        <v>33</v>
      </c>
    </row>
    <row r="23" customFormat="false" ht="15" hidden="false" customHeight="false" outlineLevel="0" collapsed="false">
      <c r="A23" s="10" t="s">
        <v>34</v>
      </c>
    </row>
    <row r="24" customFormat="false" ht="15" hidden="false" customHeight="false" outlineLevel="0" collapsed="false">
      <c r="A24" s="10" t="s">
        <v>35</v>
      </c>
    </row>
    <row r="25" customFormat="false" ht="15" hidden="false" customHeight="false" outlineLevel="0" collapsed="false">
      <c r="A25" s="10" t="s">
        <v>36</v>
      </c>
    </row>
    <row r="26" customFormat="false" ht="15" hidden="false" customHeight="false" outlineLevel="0" collapsed="false">
      <c r="A26" s="4" t="s">
        <v>37</v>
      </c>
    </row>
    <row r="27" customFormat="false" ht="15" hidden="false" customHeight="false" outlineLevel="0" collapsed="false">
      <c r="A27" s="4"/>
    </row>
    <row r="28" customFormat="false" ht="15" hidden="false" customHeight="false" outlineLevel="0" collapsed="false">
      <c r="A28" s="3" t="s">
        <v>38</v>
      </c>
    </row>
    <row r="29" customFormat="false" ht="15" hidden="false" customHeight="false" outlineLevel="0" collapsed="false">
      <c r="A29" s="4" t="s">
        <v>39</v>
      </c>
    </row>
    <row r="30" customFormat="false" ht="15" hidden="false" customHeight="false" outlineLevel="0" collapsed="false">
      <c r="A30" s="4" t="s">
        <v>40</v>
      </c>
    </row>
    <row r="31" customFormat="false" ht="15" hidden="false" customHeight="false" outlineLevel="0" collapsed="false">
      <c r="A31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52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5" t="s">
        <v>44</v>
      </c>
      <c r="B4" s="5" t="s">
        <v>45</v>
      </c>
      <c r="C4" s="5" t="s">
        <v>46</v>
      </c>
    </row>
    <row r="5" customFormat="false" ht="15" hidden="false" customHeight="false" outlineLevel="0" collapsed="false">
      <c r="A5" s="11" t="s">
        <v>47</v>
      </c>
      <c r="B5" s="12" t="s">
        <v>48</v>
      </c>
      <c r="C5" s="11" t="s">
        <v>49</v>
      </c>
    </row>
    <row r="6" customFormat="false" ht="15" hidden="false" customHeight="false" outlineLevel="0" collapsed="false">
      <c r="A6" s="11" t="s">
        <v>50</v>
      </c>
      <c r="B6" s="13" t="n">
        <f aca="false">DATE(2026,10,5)</f>
        <v>46300</v>
      </c>
      <c r="C6" s="11" t="s">
        <v>51</v>
      </c>
    </row>
    <row r="7" customFormat="false" ht="15" hidden="false" customHeight="false" outlineLevel="0" collapsed="false">
      <c r="A7" s="11" t="s">
        <v>52</v>
      </c>
      <c r="B7" s="12" t="n">
        <v>5</v>
      </c>
      <c r="C7" s="11" t="s">
        <v>53</v>
      </c>
    </row>
    <row r="8" customFormat="false" ht="15" hidden="false" customHeight="false" outlineLevel="0" collapsed="false">
      <c r="A8" s="11" t="s">
        <v>54</v>
      </c>
      <c r="B8" s="12" t="n">
        <v>3</v>
      </c>
      <c r="C8" s="11" t="s">
        <v>55</v>
      </c>
    </row>
    <row r="9" customFormat="false" ht="15" hidden="false" customHeight="false" outlineLevel="0" collapsed="false">
      <c r="A9" s="11" t="s">
        <v>56</v>
      </c>
      <c r="B9" s="14" t="n">
        <v>0.01</v>
      </c>
      <c r="C9" s="11" t="s">
        <v>57</v>
      </c>
    </row>
    <row r="10" customFormat="false" ht="15" hidden="false" customHeight="false" outlineLevel="0" collapsed="false">
      <c r="A10" s="11" t="s">
        <v>58</v>
      </c>
      <c r="B10" s="12" t="n">
        <v>5</v>
      </c>
      <c r="C10" s="1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5" topLeftCell="I6" activePane="bottomRight" state="frozen"/>
      <selection pane="topLeft" activeCell="A1" activeCellId="0" sqref="A1"/>
      <selection pane="topRight" activeCell="I1" activeCellId="0" sqref="I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4" min="3" style="0" width="5"/>
    <col collapsed="false" customWidth="true" hidden="false" outlineLevel="0" max="5" min="5" style="0" width="15"/>
    <col collapsed="false" customWidth="true" hidden="false" outlineLevel="0" max="7" min="6" style="0" width="14"/>
    <col collapsed="false" customWidth="true" hidden="false" outlineLevel="0" max="8" min="8" style="0" width="36"/>
    <col collapsed="false" customWidth="true" hidden="false" outlineLevel="0" max="11" min="9" style="0" width="7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4" min="14" style="0" width="7"/>
    <col collapsed="false" customWidth="true" hidden="false" outlineLevel="0" max="15" min="15" style="0" width="8"/>
    <col collapsed="false" customWidth="true" hidden="false" outlineLevel="0" max="16" min="16" style="0" width="6"/>
    <col collapsed="false" customWidth="true" hidden="false" outlineLevel="0" max="17" min="17" style="0" width="34"/>
    <col collapsed="false" customWidth="true" hidden="true" outlineLevel="0" max="18" min="18" style="0" width="13"/>
  </cols>
  <sheetData>
    <row r="1" customFormat="false" ht="19.7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3" customFormat="false" ht="15" hidden="false" customHeight="false" outlineLevel="0" collapsed="false">
      <c r="H3" s="15" t="s">
        <v>62</v>
      </c>
    </row>
    <row r="5" customFormat="false" ht="30" hidden="false" customHeight="true" outlineLevel="0" collapsed="false">
      <c r="A5" s="6" t="s">
        <v>63</v>
      </c>
      <c r="B5" s="5" t="s">
        <v>14</v>
      </c>
      <c r="C5" s="5" t="s">
        <v>64</v>
      </c>
      <c r="D5" s="5" t="s">
        <v>65</v>
      </c>
      <c r="E5" s="5" t="s">
        <v>15</v>
      </c>
      <c r="F5" s="6" t="s">
        <v>16</v>
      </c>
      <c r="G5" s="5" t="s">
        <v>17</v>
      </c>
      <c r="H5" s="6" t="s">
        <v>18</v>
      </c>
      <c r="I5" s="5" t="s">
        <v>19</v>
      </c>
      <c r="J5" s="5" t="s">
        <v>20</v>
      </c>
      <c r="K5" s="5" t="s">
        <v>21</v>
      </c>
      <c r="L5" s="5" t="s">
        <v>22</v>
      </c>
      <c r="M5" s="5" t="s">
        <v>66</v>
      </c>
      <c r="N5" s="5" t="s">
        <v>24</v>
      </c>
      <c r="O5" s="5" t="s">
        <v>67</v>
      </c>
      <c r="P5" s="5" t="s">
        <v>68</v>
      </c>
      <c r="Q5" s="5" t="s">
        <v>69</v>
      </c>
      <c r="R5" s="6" t="s">
        <v>70</v>
      </c>
    </row>
    <row r="6" customFormat="false" ht="15" hidden="false" customHeight="false" outlineLevel="0" collapsed="false">
      <c r="A6" s="16" t="n">
        <v>1</v>
      </c>
      <c r="B6" s="17"/>
      <c r="C6" s="16" t="str">
        <f aca="false">IF(B6="","",CHOOSE(WEEKDAY(B6),"日","月","火","水","木","金","土"))</f>
        <v/>
      </c>
      <c r="D6" s="16" t="str">
        <f aca="false">IF(B6="","",INT((B6-設定!$B$6)/7)+1)</f>
        <v/>
      </c>
      <c r="E6" s="18"/>
      <c r="F6" s="18"/>
      <c r="G6" s="19"/>
      <c r="H6" s="19"/>
      <c r="I6" s="18"/>
      <c r="J6" s="18"/>
      <c r="K6" s="18"/>
      <c r="L6" s="18"/>
      <c r="M6" s="18"/>
      <c r="N6" s="18"/>
      <c r="O6" s="20" t="str">
        <f aca="false">IF(OR(I6="",I6=0,K6=""),"",K6/I6)</f>
        <v/>
      </c>
      <c r="P6" s="16" t="str">
        <f aca="false">IF(B6="","",IF(OR(AND(K6&lt;&gt;"",K6&gt;=設定!$B$7),AND(L6&lt;&gt;"",L6&gt;=設定!$B$8),AND(O6&lt;&gt;"",O6&gt;=設定!$B$9)),"○","×"))</f>
        <v/>
      </c>
      <c r="Q6" s="19"/>
      <c r="R6" s="21" t="str">
        <f aca="false">IF(B6="","",D6&amp;"-"&amp;N(K6))</f>
        <v/>
      </c>
    </row>
    <row r="7" customFormat="false" ht="15" hidden="false" customHeight="false" outlineLevel="0" collapsed="false">
      <c r="A7" s="16" t="n">
        <v>2</v>
      </c>
      <c r="B7" s="17"/>
      <c r="C7" s="16" t="str">
        <f aca="false">IF(B7="","",CHOOSE(WEEKDAY(B7),"日","月","火","水","木","金","土"))</f>
        <v/>
      </c>
      <c r="D7" s="16" t="str">
        <f aca="false">IF(B7="","",INT((B7-設定!$B$6)/7)+1)</f>
        <v/>
      </c>
      <c r="E7" s="18"/>
      <c r="F7" s="18"/>
      <c r="G7" s="19"/>
      <c r="H7" s="19"/>
      <c r="I7" s="18"/>
      <c r="J7" s="18"/>
      <c r="K7" s="18"/>
      <c r="L7" s="18"/>
      <c r="M7" s="18"/>
      <c r="N7" s="18"/>
      <c r="O7" s="20" t="str">
        <f aca="false">IF(OR(I7="",I7=0,K7=""),"",K7/I7)</f>
        <v/>
      </c>
      <c r="P7" s="16" t="str">
        <f aca="false">IF(B7="","",IF(OR(AND(K7&lt;&gt;"",K7&gt;=設定!$B$7),AND(L7&lt;&gt;"",L7&gt;=設定!$B$8),AND(O7&lt;&gt;"",O7&gt;=設定!$B$9)),"○","×"))</f>
        <v/>
      </c>
      <c r="Q7" s="19"/>
      <c r="R7" s="21" t="str">
        <f aca="false">IF(B7="","",D7&amp;"-"&amp;N(K7))</f>
        <v/>
      </c>
    </row>
    <row r="8" customFormat="false" ht="15" hidden="false" customHeight="false" outlineLevel="0" collapsed="false">
      <c r="A8" s="16" t="n">
        <v>3</v>
      </c>
      <c r="B8" s="17"/>
      <c r="C8" s="16" t="str">
        <f aca="false">IF(B8="","",CHOOSE(WEEKDAY(B8),"日","月","火","水","木","金","土"))</f>
        <v/>
      </c>
      <c r="D8" s="16" t="str">
        <f aca="false">IF(B8="","",INT((B8-設定!$B$6)/7)+1)</f>
        <v/>
      </c>
      <c r="E8" s="18"/>
      <c r="F8" s="18"/>
      <c r="G8" s="19"/>
      <c r="H8" s="19"/>
      <c r="I8" s="18"/>
      <c r="J8" s="18"/>
      <c r="K8" s="18"/>
      <c r="L8" s="18"/>
      <c r="M8" s="18"/>
      <c r="N8" s="18"/>
      <c r="O8" s="20" t="str">
        <f aca="false">IF(OR(I8="",I8=0,K8=""),"",K8/I8)</f>
        <v/>
      </c>
      <c r="P8" s="16" t="str">
        <f aca="false">IF(B8="","",IF(OR(AND(K8&lt;&gt;"",K8&gt;=設定!$B$7),AND(L8&lt;&gt;"",L8&gt;=設定!$B$8),AND(O8&lt;&gt;"",O8&gt;=設定!$B$9)),"○","×"))</f>
        <v/>
      </c>
      <c r="Q8" s="19"/>
      <c r="R8" s="21" t="str">
        <f aca="false">IF(B8="","",D8&amp;"-"&amp;N(K8))</f>
        <v/>
      </c>
    </row>
    <row r="9" customFormat="false" ht="15" hidden="false" customHeight="false" outlineLevel="0" collapsed="false">
      <c r="A9" s="16" t="n">
        <v>4</v>
      </c>
      <c r="B9" s="17"/>
      <c r="C9" s="16" t="str">
        <f aca="false">IF(B9="","",CHOOSE(WEEKDAY(B9),"日","月","火","水","木","金","土"))</f>
        <v/>
      </c>
      <c r="D9" s="16" t="str">
        <f aca="false">IF(B9="","",INT((B9-設定!$B$6)/7)+1)</f>
        <v/>
      </c>
      <c r="E9" s="18"/>
      <c r="F9" s="18"/>
      <c r="G9" s="19"/>
      <c r="H9" s="19"/>
      <c r="I9" s="18"/>
      <c r="J9" s="18"/>
      <c r="K9" s="18"/>
      <c r="L9" s="18"/>
      <c r="M9" s="18"/>
      <c r="N9" s="18"/>
      <c r="O9" s="20" t="str">
        <f aca="false">IF(OR(I9="",I9=0,K9=""),"",K9/I9)</f>
        <v/>
      </c>
      <c r="P9" s="16" t="str">
        <f aca="false">IF(B9="","",IF(OR(AND(K9&lt;&gt;"",K9&gt;=設定!$B$7),AND(L9&lt;&gt;"",L9&gt;=設定!$B$8),AND(O9&lt;&gt;"",O9&gt;=設定!$B$9)),"○","×"))</f>
        <v/>
      </c>
      <c r="Q9" s="19"/>
      <c r="R9" s="21" t="str">
        <f aca="false">IF(B9="","",D9&amp;"-"&amp;N(K9))</f>
        <v/>
      </c>
    </row>
    <row r="10" customFormat="false" ht="15" hidden="false" customHeight="false" outlineLevel="0" collapsed="false">
      <c r="A10" s="16" t="n">
        <v>5</v>
      </c>
      <c r="B10" s="17"/>
      <c r="C10" s="16" t="str">
        <f aca="false">IF(B10="","",CHOOSE(WEEKDAY(B10),"日","月","火","水","木","金","土"))</f>
        <v/>
      </c>
      <c r="D10" s="16" t="str">
        <f aca="false">IF(B10="","",INT((B10-設定!$B$6)/7)+1)</f>
        <v/>
      </c>
      <c r="E10" s="18"/>
      <c r="F10" s="18"/>
      <c r="G10" s="19"/>
      <c r="H10" s="19"/>
      <c r="I10" s="18"/>
      <c r="J10" s="18"/>
      <c r="K10" s="18"/>
      <c r="L10" s="18"/>
      <c r="M10" s="18"/>
      <c r="N10" s="18"/>
      <c r="O10" s="20" t="str">
        <f aca="false">IF(OR(I10="",I10=0,K10=""),"",K10/I10)</f>
        <v/>
      </c>
      <c r="P10" s="16" t="str">
        <f aca="false">IF(B10="","",IF(OR(AND(K10&lt;&gt;"",K10&gt;=設定!$B$7),AND(L10&lt;&gt;"",L10&gt;=設定!$B$8),AND(O10&lt;&gt;"",O10&gt;=設定!$B$9)),"○","×"))</f>
        <v/>
      </c>
      <c r="Q10" s="19"/>
      <c r="R10" s="21" t="str">
        <f aca="false">IF(B10="","",D10&amp;"-"&amp;N(K10))</f>
        <v/>
      </c>
    </row>
    <row r="11" customFormat="false" ht="15" hidden="false" customHeight="false" outlineLevel="0" collapsed="false">
      <c r="A11" s="16" t="n">
        <v>6</v>
      </c>
      <c r="B11" s="17"/>
      <c r="C11" s="16" t="str">
        <f aca="false">IF(B11="","",CHOOSE(WEEKDAY(B11),"日","月","火","水","木","金","土"))</f>
        <v/>
      </c>
      <c r="D11" s="16" t="str">
        <f aca="false">IF(B11="","",INT((B11-設定!$B$6)/7)+1)</f>
        <v/>
      </c>
      <c r="E11" s="18"/>
      <c r="F11" s="18"/>
      <c r="G11" s="19"/>
      <c r="H11" s="19"/>
      <c r="I11" s="18"/>
      <c r="J11" s="18"/>
      <c r="K11" s="18"/>
      <c r="L11" s="18"/>
      <c r="M11" s="18"/>
      <c r="N11" s="18"/>
      <c r="O11" s="20" t="str">
        <f aca="false">IF(OR(I11="",I11=0,K11=""),"",K11/I11)</f>
        <v/>
      </c>
      <c r="P11" s="16" t="str">
        <f aca="false">IF(B11="","",IF(OR(AND(K11&lt;&gt;"",K11&gt;=設定!$B$7),AND(L11&lt;&gt;"",L11&gt;=設定!$B$8),AND(O11&lt;&gt;"",O11&gt;=設定!$B$9)),"○","×"))</f>
        <v/>
      </c>
      <c r="Q11" s="19"/>
      <c r="R11" s="21" t="str">
        <f aca="false">IF(B11="","",D11&amp;"-"&amp;N(K11))</f>
        <v/>
      </c>
    </row>
    <row r="12" customFormat="false" ht="15" hidden="false" customHeight="false" outlineLevel="0" collapsed="false">
      <c r="A12" s="16" t="n">
        <v>7</v>
      </c>
      <c r="B12" s="17"/>
      <c r="C12" s="16" t="str">
        <f aca="false">IF(B12="","",CHOOSE(WEEKDAY(B12),"日","月","火","水","木","金","土"))</f>
        <v/>
      </c>
      <c r="D12" s="16" t="str">
        <f aca="false">IF(B12="","",INT((B12-設定!$B$6)/7)+1)</f>
        <v/>
      </c>
      <c r="E12" s="18"/>
      <c r="F12" s="18"/>
      <c r="G12" s="19"/>
      <c r="H12" s="19"/>
      <c r="I12" s="18"/>
      <c r="J12" s="18"/>
      <c r="K12" s="18"/>
      <c r="L12" s="18"/>
      <c r="M12" s="18"/>
      <c r="N12" s="18"/>
      <c r="O12" s="20" t="str">
        <f aca="false">IF(OR(I12="",I12=0,K12=""),"",K12/I12)</f>
        <v/>
      </c>
      <c r="P12" s="16" t="str">
        <f aca="false">IF(B12="","",IF(OR(AND(K12&lt;&gt;"",K12&gt;=設定!$B$7),AND(L12&lt;&gt;"",L12&gt;=設定!$B$8),AND(O12&lt;&gt;"",O12&gt;=設定!$B$9)),"○","×"))</f>
        <v/>
      </c>
      <c r="Q12" s="19"/>
      <c r="R12" s="21" t="str">
        <f aca="false">IF(B12="","",D12&amp;"-"&amp;N(K12))</f>
        <v/>
      </c>
    </row>
    <row r="13" customFormat="false" ht="15" hidden="false" customHeight="false" outlineLevel="0" collapsed="false">
      <c r="A13" s="16" t="n">
        <v>8</v>
      </c>
      <c r="B13" s="17"/>
      <c r="C13" s="16" t="str">
        <f aca="false">IF(B13="","",CHOOSE(WEEKDAY(B13),"日","月","火","水","木","金","土"))</f>
        <v/>
      </c>
      <c r="D13" s="16" t="str">
        <f aca="false">IF(B13="","",INT((B13-設定!$B$6)/7)+1)</f>
        <v/>
      </c>
      <c r="E13" s="18"/>
      <c r="F13" s="18"/>
      <c r="G13" s="19"/>
      <c r="H13" s="19"/>
      <c r="I13" s="18"/>
      <c r="J13" s="18"/>
      <c r="K13" s="18"/>
      <c r="L13" s="18"/>
      <c r="M13" s="18"/>
      <c r="N13" s="18"/>
      <c r="O13" s="20" t="str">
        <f aca="false">IF(OR(I13="",I13=0,K13=""),"",K13/I13)</f>
        <v/>
      </c>
      <c r="P13" s="16" t="str">
        <f aca="false">IF(B13="","",IF(OR(AND(K13&lt;&gt;"",K13&gt;=設定!$B$7),AND(L13&lt;&gt;"",L13&gt;=設定!$B$8),AND(O13&lt;&gt;"",O13&gt;=設定!$B$9)),"○","×"))</f>
        <v/>
      </c>
      <c r="Q13" s="19"/>
      <c r="R13" s="21" t="str">
        <f aca="false">IF(B13="","",D13&amp;"-"&amp;N(K13))</f>
        <v/>
      </c>
    </row>
    <row r="14" customFormat="false" ht="15" hidden="false" customHeight="false" outlineLevel="0" collapsed="false">
      <c r="A14" s="16" t="n">
        <v>9</v>
      </c>
      <c r="B14" s="17"/>
      <c r="C14" s="16" t="str">
        <f aca="false">IF(B14="","",CHOOSE(WEEKDAY(B14),"日","月","火","水","木","金","土"))</f>
        <v/>
      </c>
      <c r="D14" s="16" t="str">
        <f aca="false">IF(B14="","",INT((B14-設定!$B$6)/7)+1)</f>
        <v/>
      </c>
      <c r="E14" s="18"/>
      <c r="F14" s="18"/>
      <c r="G14" s="19"/>
      <c r="H14" s="19"/>
      <c r="I14" s="18"/>
      <c r="J14" s="18"/>
      <c r="K14" s="18"/>
      <c r="L14" s="18"/>
      <c r="M14" s="18"/>
      <c r="N14" s="18"/>
      <c r="O14" s="20" t="str">
        <f aca="false">IF(OR(I14="",I14=0,K14=""),"",K14/I14)</f>
        <v/>
      </c>
      <c r="P14" s="16" t="str">
        <f aca="false">IF(B14="","",IF(OR(AND(K14&lt;&gt;"",K14&gt;=設定!$B$7),AND(L14&lt;&gt;"",L14&gt;=設定!$B$8),AND(O14&lt;&gt;"",O14&gt;=設定!$B$9)),"○","×"))</f>
        <v/>
      </c>
      <c r="Q14" s="19"/>
      <c r="R14" s="21" t="str">
        <f aca="false">IF(B14="","",D14&amp;"-"&amp;N(K14))</f>
        <v/>
      </c>
    </row>
    <row r="15" customFormat="false" ht="15" hidden="false" customHeight="false" outlineLevel="0" collapsed="false">
      <c r="A15" s="16" t="n">
        <v>10</v>
      </c>
      <c r="B15" s="17"/>
      <c r="C15" s="16" t="str">
        <f aca="false">IF(B15="","",CHOOSE(WEEKDAY(B15),"日","月","火","水","木","金","土"))</f>
        <v/>
      </c>
      <c r="D15" s="16" t="str">
        <f aca="false">IF(B15="","",INT((B15-設定!$B$6)/7)+1)</f>
        <v/>
      </c>
      <c r="E15" s="18"/>
      <c r="F15" s="18"/>
      <c r="G15" s="19"/>
      <c r="H15" s="19"/>
      <c r="I15" s="18"/>
      <c r="J15" s="18"/>
      <c r="K15" s="18"/>
      <c r="L15" s="18"/>
      <c r="M15" s="18"/>
      <c r="N15" s="18"/>
      <c r="O15" s="20" t="str">
        <f aca="false">IF(OR(I15="",I15=0,K15=""),"",K15/I15)</f>
        <v/>
      </c>
      <c r="P15" s="16" t="str">
        <f aca="false">IF(B15="","",IF(OR(AND(K15&lt;&gt;"",K15&gt;=設定!$B$7),AND(L15&lt;&gt;"",L15&gt;=設定!$B$8),AND(O15&lt;&gt;"",O15&gt;=設定!$B$9)),"○","×"))</f>
        <v/>
      </c>
      <c r="Q15" s="19"/>
      <c r="R15" s="21" t="str">
        <f aca="false">IF(B15="","",D15&amp;"-"&amp;N(K15))</f>
        <v/>
      </c>
    </row>
    <row r="16" customFormat="false" ht="15" hidden="false" customHeight="false" outlineLevel="0" collapsed="false">
      <c r="A16" s="16" t="n">
        <v>11</v>
      </c>
      <c r="B16" s="17"/>
      <c r="C16" s="16" t="str">
        <f aca="false">IF(B16="","",CHOOSE(WEEKDAY(B16),"日","月","火","水","木","金","土"))</f>
        <v/>
      </c>
      <c r="D16" s="16" t="str">
        <f aca="false">IF(B16="","",INT((B16-設定!$B$6)/7)+1)</f>
        <v/>
      </c>
      <c r="E16" s="18"/>
      <c r="F16" s="18"/>
      <c r="G16" s="19"/>
      <c r="H16" s="19"/>
      <c r="I16" s="18"/>
      <c r="J16" s="18"/>
      <c r="K16" s="18"/>
      <c r="L16" s="18"/>
      <c r="M16" s="18"/>
      <c r="N16" s="18"/>
      <c r="O16" s="20" t="str">
        <f aca="false">IF(OR(I16="",I16=0,K16=""),"",K16/I16)</f>
        <v/>
      </c>
      <c r="P16" s="16" t="str">
        <f aca="false">IF(B16="","",IF(OR(AND(K16&lt;&gt;"",K16&gt;=設定!$B$7),AND(L16&lt;&gt;"",L16&gt;=設定!$B$8),AND(O16&lt;&gt;"",O16&gt;=設定!$B$9)),"○","×"))</f>
        <v/>
      </c>
      <c r="Q16" s="19"/>
      <c r="R16" s="21" t="str">
        <f aca="false">IF(B16="","",D16&amp;"-"&amp;N(K16))</f>
        <v/>
      </c>
    </row>
    <row r="17" customFormat="false" ht="15" hidden="false" customHeight="false" outlineLevel="0" collapsed="false">
      <c r="A17" s="16" t="n">
        <v>12</v>
      </c>
      <c r="B17" s="17"/>
      <c r="C17" s="16" t="str">
        <f aca="false">IF(B17="","",CHOOSE(WEEKDAY(B17),"日","月","火","水","木","金","土"))</f>
        <v/>
      </c>
      <c r="D17" s="16" t="str">
        <f aca="false">IF(B17="","",INT((B17-設定!$B$6)/7)+1)</f>
        <v/>
      </c>
      <c r="E17" s="18"/>
      <c r="F17" s="18"/>
      <c r="G17" s="19"/>
      <c r="H17" s="19"/>
      <c r="I17" s="18"/>
      <c r="J17" s="18"/>
      <c r="K17" s="18"/>
      <c r="L17" s="18"/>
      <c r="M17" s="18"/>
      <c r="N17" s="18"/>
      <c r="O17" s="20" t="str">
        <f aca="false">IF(OR(I17="",I17=0,K17=""),"",K17/I17)</f>
        <v/>
      </c>
      <c r="P17" s="16" t="str">
        <f aca="false">IF(B17="","",IF(OR(AND(K17&lt;&gt;"",K17&gt;=設定!$B$7),AND(L17&lt;&gt;"",L17&gt;=設定!$B$8),AND(O17&lt;&gt;"",O17&gt;=設定!$B$9)),"○","×"))</f>
        <v/>
      </c>
      <c r="Q17" s="19"/>
      <c r="R17" s="21" t="str">
        <f aca="false">IF(B17="","",D17&amp;"-"&amp;N(K17))</f>
        <v/>
      </c>
    </row>
    <row r="18" customFormat="false" ht="15" hidden="false" customHeight="false" outlineLevel="0" collapsed="false">
      <c r="A18" s="16" t="n">
        <v>13</v>
      </c>
      <c r="B18" s="17"/>
      <c r="C18" s="16" t="str">
        <f aca="false">IF(B18="","",CHOOSE(WEEKDAY(B18),"日","月","火","水","木","金","土"))</f>
        <v/>
      </c>
      <c r="D18" s="16" t="str">
        <f aca="false">IF(B18="","",INT((B18-設定!$B$6)/7)+1)</f>
        <v/>
      </c>
      <c r="E18" s="18"/>
      <c r="F18" s="18"/>
      <c r="G18" s="19"/>
      <c r="H18" s="19"/>
      <c r="I18" s="18"/>
      <c r="J18" s="18"/>
      <c r="K18" s="18"/>
      <c r="L18" s="18"/>
      <c r="M18" s="18"/>
      <c r="N18" s="18"/>
      <c r="O18" s="20" t="str">
        <f aca="false">IF(OR(I18="",I18=0,K18=""),"",K18/I18)</f>
        <v/>
      </c>
      <c r="P18" s="16" t="str">
        <f aca="false">IF(B18="","",IF(OR(AND(K18&lt;&gt;"",K18&gt;=設定!$B$7),AND(L18&lt;&gt;"",L18&gt;=設定!$B$8),AND(O18&lt;&gt;"",O18&gt;=設定!$B$9)),"○","×"))</f>
        <v/>
      </c>
      <c r="Q18" s="19"/>
      <c r="R18" s="21" t="str">
        <f aca="false">IF(B18="","",D18&amp;"-"&amp;N(K18))</f>
        <v/>
      </c>
    </row>
    <row r="19" customFormat="false" ht="15" hidden="false" customHeight="false" outlineLevel="0" collapsed="false">
      <c r="A19" s="16" t="n">
        <v>14</v>
      </c>
      <c r="B19" s="17"/>
      <c r="C19" s="16" t="str">
        <f aca="false">IF(B19="","",CHOOSE(WEEKDAY(B19),"日","月","火","水","木","金","土"))</f>
        <v/>
      </c>
      <c r="D19" s="16" t="str">
        <f aca="false">IF(B19="","",INT((B19-設定!$B$6)/7)+1)</f>
        <v/>
      </c>
      <c r="E19" s="18"/>
      <c r="F19" s="18"/>
      <c r="G19" s="19"/>
      <c r="H19" s="19"/>
      <c r="I19" s="18"/>
      <c r="J19" s="18"/>
      <c r="K19" s="18"/>
      <c r="L19" s="18"/>
      <c r="M19" s="18"/>
      <c r="N19" s="18"/>
      <c r="O19" s="20" t="str">
        <f aca="false">IF(OR(I19="",I19=0,K19=""),"",K19/I19)</f>
        <v/>
      </c>
      <c r="P19" s="16" t="str">
        <f aca="false">IF(B19="","",IF(OR(AND(K19&lt;&gt;"",K19&gt;=設定!$B$7),AND(L19&lt;&gt;"",L19&gt;=設定!$B$8),AND(O19&lt;&gt;"",O19&gt;=設定!$B$9)),"○","×"))</f>
        <v/>
      </c>
      <c r="Q19" s="19"/>
      <c r="R19" s="21" t="str">
        <f aca="false">IF(B19="","",D19&amp;"-"&amp;N(K19))</f>
        <v/>
      </c>
    </row>
    <row r="20" customFormat="false" ht="15" hidden="false" customHeight="false" outlineLevel="0" collapsed="false">
      <c r="A20" s="16" t="n">
        <v>15</v>
      </c>
      <c r="B20" s="17"/>
      <c r="C20" s="16" t="str">
        <f aca="false">IF(B20="","",CHOOSE(WEEKDAY(B20),"日","月","火","水","木","金","土"))</f>
        <v/>
      </c>
      <c r="D20" s="16" t="str">
        <f aca="false">IF(B20="","",INT((B20-設定!$B$6)/7)+1)</f>
        <v/>
      </c>
      <c r="E20" s="18"/>
      <c r="F20" s="18"/>
      <c r="G20" s="19"/>
      <c r="H20" s="19"/>
      <c r="I20" s="18"/>
      <c r="J20" s="18"/>
      <c r="K20" s="18"/>
      <c r="L20" s="18"/>
      <c r="M20" s="18"/>
      <c r="N20" s="18"/>
      <c r="O20" s="20" t="str">
        <f aca="false">IF(OR(I20="",I20=0,K20=""),"",K20/I20)</f>
        <v/>
      </c>
      <c r="P20" s="16" t="str">
        <f aca="false">IF(B20="","",IF(OR(AND(K20&lt;&gt;"",K20&gt;=設定!$B$7),AND(L20&lt;&gt;"",L20&gt;=設定!$B$8),AND(O20&lt;&gt;"",O20&gt;=設定!$B$9)),"○","×"))</f>
        <v/>
      </c>
      <c r="Q20" s="19"/>
      <c r="R20" s="21" t="str">
        <f aca="false">IF(B20="","",D20&amp;"-"&amp;N(K20))</f>
        <v/>
      </c>
    </row>
    <row r="21" customFormat="false" ht="15" hidden="false" customHeight="false" outlineLevel="0" collapsed="false">
      <c r="A21" s="16" t="n">
        <v>16</v>
      </c>
      <c r="B21" s="17"/>
      <c r="C21" s="16" t="str">
        <f aca="false">IF(B21="","",CHOOSE(WEEKDAY(B21),"日","月","火","水","木","金","土"))</f>
        <v/>
      </c>
      <c r="D21" s="16" t="str">
        <f aca="false">IF(B21="","",INT((B21-設定!$B$6)/7)+1)</f>
        <v/>
      </c>
      <c r="E21" s="18"/>
      <c r="F21" s="18"/>
      <c r="G21" s="19"/>
      <c r="H21" s="19"/>
      <c r="I21" s="18"/>
      <c r="J21" s="18"/>
      <c r="K21" s="18"/>
      <c r="L21" s="18"/>
      <c r="M21" s="18"/>
      <c r="N21" s="18"/>
      <c r="O21" s="20" t="str">
        <f aca="false">IF(OR(I21="",I21=0,K21=""),"",K21/I21)</f>
        <v/>
      </c>
      <c r="P21" s="16" t="str">
        <f aca="false">IF(B21="","",IF(OR(AND(K21&lt;&gt;"",K21&gt;=設定!$B$7),AND(L21&lt;&gt;"",L21&gt;=設定!$B$8),AND(O21&lt;&gt;"",O21&gt;=設定!$B$9)),"○","×"))</f>
        <v/>
      </c>
      <c r="Q21" s="19"/>
      <c r="R21" s="21" t="str">
        <f aca="false">IF(B21="","",D21&amp;"-"&amp;N(K21))</f>
        <v/>
      </c>
    </row>
    <row r="22" customFormat="false" ht="15" hidden="false" customHeight="false" outlineLevel="0" collapsed="false">
      <c r="A22" s="16" t="n">
        <v>17</v>
      </c>
      <c r="B22" s="17"/>
      <c r="C22" s="16" t="str">
        <f aca="false">IF(B22="","",CHOOSE(WEEKDAY(B22),"日","月","火","水","木","金","土"))</f>
        <v/>
      </c>
      <c r="D22" s="16" t="str">
        <f aca="false">IF(B22="","",INT((B22-設定!$B$6)/7)+1)</f>
        <v/>
      </c>
      <c r="E22" s="18"/>
      <c r="F22" s="18"/>
      <c r="G22" s="19"/>
      <c r="H22" s="19"/>
      <c r="I22" s="18"/>
      <c r="J22" s="18"/>
      <c r="K22" s="18"/>
      <c r="L22" s="18"/>
      <c r="M22" s="18"/>
      <c r="N22" s="18"/>
      <c r="O22" s="20" t="str">
        <f aca="false">IF(OR(I22="",I22=0,K22=""),"",K22/I22)</f>
        <v/>
      </c>
      <c r="P22" s="16" t="str">
        <f aca="false">IF(B22="","",IF(OR(AND(K22&lt;&gt;"",K22&gt;=設定!$B$7),AND(L22&lt;&gt;"",L22&gt;=設定!$B$8),AND(O22&lt;&gt;"",O22&gt;=設定!$B$9)),"○","×"))</f>
        <v/>
      </c>
      <c r="Q22" s="19"/>
      <c r="R22" s="21" t="str">
        <f aca="false">IF(B22="","",D22&amp;"-"&amp;N(K22))</f>
        <v/>
      </c>
    </row>
    <row r="23" customFormat="false" ht="15" hidden="false" customHeight="false" outlineLevel="0" collapsed="false">
      <c r="A23" s="16" t="n">
        <v>18</v>
      </c>
      <c r="B23" s="17"/>
      <c r="C23" s="16" t="str">
        <f aca="false">IF(B23="","",CHOOSE(WEEKDAY(B23),"日","月","火","水","木","金","土"))</f>
        <v/>
      </c>
      <c r="D23" s="16" t="str">
        <f aca="false">IF(B23="","",INT((B23-設定!$B$6)/7)+1)</f>
        <v/>
      </c>
      <c r="E23" s="18"/>
      <c r="F23" s="18"/>
      <c r="G23" s="19"/>
      <c r="H23" s="19"/>
      <c r="I23" s="18"/>
      <c r="J23" s="18"/>
      <c r="K23" s="18"/>
      <c r="L23" s="18"/>
      <c r="M23" s="18"/>
      <c r="N23" s="18"/>
      <c r="O23" s="20" t="str">
        <f aca="false">IF(OR(I23="",I23=0,K23=""),"",K23/I23)</f>
        <v/>
      </c>
      <c r="P23" s="16" t="str">
        <f aca="false">IF(B23="","",IF(OR(AND(K23&lt;&gt;"",K23&gt;=設定!$B$7),AND(L23&lt;&gt;"",L23&gt;=設定!$B$8),AND(O23&lt;&gt;"",O23&gt;=設定!$B$9)),"○","×"))</f>
        <v/>
      </c>
      <c r="Q23" s="19"/>
      <c r="R23" s="21" t="str">
        <f aca="false">IF(B23="","",D23&amp;"-"&amp;N(K23))</f>
        <v/>
      </c>
    </row>
    <row r="24" customFormat="false" ht="15" hidden="false" customHeight="false" outlineLevel="0" collapsed="false">
      <c r="A24" s="16" t="n">
        <v>19</v>
      </c>
      <c r="B24" s="17"/>
      <c r="C24" s="16" t="str">
        <f aca="false">IF(B24="","",CHOOSE(WEEKDAY(B24),"日","月","火","水","木","金","土"))</f>
        <v/>
      </c>
      <c r="D24" s="16" t="str">
        <f aca="false">IF(B24="","",INT((B24-設定!$B$6)/7)+1)</f>
        <v/>
      </c>
      <c r="E24" s="18"/>
      <c r="F24" s="18"/>
      <c r="G24" s="19"/>
      <c r="H24" s="19"/>
      <c r="I24" s="18"/>
      <c r="J24" s="18"/>
      <c r="K24" s="18"/>
      <c r="L24" s="18"/>
      <c r="M24" s="18"/>
      <c r="N24" s="18"/>
      <c r="O24" s="20" t="str">
        <f aca="false">IF(OR(I24="",I24=0,K24=""),"",K24/I24)</f>
        <v/>
      </c>
      <c r="P24" s="16" t="str">
        <f aca="false">IF(B24="","",IF(OR(AND(K24&lt;&gt;"",K24&gt;=設定!$B$7),AND(L24&lt;&gt;"",L24&gt;=設定!$B$8),AND(O24&lt;&gt;"",O24&gt;=設定!$B$9)),"○","×"))</f>
        <v/>
      </c>
      <c r="Q24" s="19"/>
      <c r="R24" s="21" t="str">
        <f aca="false">IF(B24="","",D24&amp;"-"&amp;N(K24))</f>
        <v/>
      </c>
    </row>
    <row r="25" customFormat="false" ht="15" hidden="false" customHeight="false" outlineLevel="0" collapsed="false">
      <c r="A25" s="16" t="n">
        <v>20</v>
      </c>
      <c r="B25" s="17"/>
      <c r="C25" s="16" t="str">
        <f aca="false">IF(B25="","",CHOOSE(WEEKDAY(B25),"日","月","火","水","木","金","土"))</f>
        <v/>
      </c>
      <c r="D25" s="16" t="str">
        <f aca="false">IF(B25="","",INT((B25-設定!$B$6)/7)+1)</f>
        <v/>
      </c>
      <c r="E25" s="18"/>
      <c r="F25" s="18"/>
      <c r="G25" s="19"/>
      <c r="H25" s="19"/>
      <c r="I25" s="18"/>
      <c r="J25" s="18"/>
      <c r="K25" s="18"/>
      <c r="L25" s="18"/>
      <c r="M25" s="18"/>
      <c r="N25" s="18"/>
      <c r="O25" s="20" t="str">
        <f aca="false">IF(OR(I25="",I25=0,K25=""),"",K25/I25)</f>
        <v/>
      </c>
      <c r="P25" s="16" t="str">
        <f aca="false">IF(B25="","",IF(OR(AND(K25&lt;&gt;"",K25&gt;=設定!$B$7),AND(L25&lt;&gt;"",L25&gt;=設定!$B$8),AND(O25&lt;&gt;"",O25&gt;=設定!$B$9)),"○","×"))</f>
        <v/>
      </c>
      <c r="Q25" s="19"/>
      <c r="R25" s="21" t="str">
        <f aca="false">IF(B25="","",D25&amp;"-"&amp;N(K25))</f>
        <v/>
      </c>
    </row>
    <row r="26" customFormat="false" ht="15" hidden="false" customHeight="false" outlineLevel="0" collapsed="false">
      <c r="A26" s="16" t="n">
        <v>21</v>
      </c>
      <c r="B26" s="17"/>
      <c r="C26" s="16" t="str">
        <f aca="false">IF(B26="","",CHOOSE(WEEKDAY(B26),"日","月","火","水","木","金","土"))</f>
        <v/>
      </c>
      <c r="D26" s="16" t="str">
        <f aca="false">IF(B26="","",INT((B26-設定!$B$6)/7)+1)</f>
        <v/>
      </c>
      <c r="E26" s="18"/>
      <c r="F26" s="18"/>
      <c r="G26" s="19"/>
      <c r="H26" s="19"/>
      <c r="I26" s="18"/>
      <c r="J26" s="18"/>
      <c r="K26" s="18"/>
      <c r="L26" s="18"/>
      <c r="M26" s="18"/>
      <c r="N26" s="18"/>
      <c r="O26" s="20" t="str">
        <f aca="false">IF(OR(I26="",I26=0,K26=""),"",K26/I26)</f>
        <v/>
      </c>
      <c r="P26" s="16" t="str">
        <f aca="false">IF(B26="","",IF(OR(AND(K26&lt;&gt;"",K26&gt;=設定!$B$7),AND(L26&lt;&gt;"",L26&gt;=設定!$B$8),AND(O26&lt;&gt;"",O26&gt;=設定!$B$9)),"○","×"))</f>
        <v/>
      </c>
      <c r="Q26" s="19"/>
      <c r="R26" s="21" t="str">
        <f aca="false">IF(B26="","",D26&amp;"-"&amp;N(K26))</f>
        <v/>
      </c>
    </row>
    <row r="27" customFormat="false" ht="15" hidden="false" customHeight="false" outlineLevel="0" collapsed="false">
      <c r="A27" s="16" t="n">
        <v>22</v>
      </c>
      <c r="B27" s="17"/>
      <c r="C27" s="16" t="str">
        <f aca="false">IF(B27="","",CHOOSE(WEEKDAY(B27),"日","月","火","水","木","金","土"))</f>
        <v/>
      </c>
      <c r="D27" s="16" t="str">
        <f aca="false">IF(B27="","",INT((B27-設定!$B$6)/7)+1)</f>
        <v/>
      </c>
      <c r="E27" s="18"/>
      <c r="F27" s="18"/>
      <c r="G27" s="19"/>
      <c r="H27" s="19"/>
      <c r="I27" s="18"/>
      <c r="J27" s="18"/>
      <c r="K27" s="18"/>
      <c r="L27" s="18"/>
      <c r="M27" s="18"/>
      <c r="N27" s="18"/>
      <c r="O27" s="20" t="str">
        <f aca="false">IF(OR(I27="",I27=0,K27=""),"",K27/I27)</f>
        <v/>
      </c>
      <c r="P27" s="16" t="str">
        <f aca="false">IF(B27="","",IF(OR(AND(K27&lt;&gt;"",K27&gt;=設定!$B$7),AND(L27&lt;&gt;"",L27&gt;=設定!$B$8),AND(O27&lt;&gt;"",O27&gt;=設定!$B$9)),"○","×"))</f>
        <v/>
      </c>
      <c r="Q27" s="19"/>
      <c r="R27" s="21" t="str">
        <f aca="false">IF(B27="","",D27&amp;"-"&amp;N(K27))</f>
        <v/>
      </c>
    </row>
    <row r="28" customFormat="false" ht="15" hidden="false" customHeight="false" outlineLevel="0" collapsed="false">
      <c r="A28" s="16" t="n">
        <v>23</v>
      </c>
      <c r="B28" s="17"/>
      <c r="C28" s="16" t="str">
        <f aca="false">IF(B28="","",CHOOSE(WEEKDAY(B28),"日","月","火","水","木","金","土"))</f>
        <v/>
      </c>
      <c r="D28" s="16" t="str">
        <f aca="false">IF(B28="","",INT((B28-設定!$B$6)/7)+1)</f>
        <v/>
      </c>
      <c r="E28" s="18"/>
      <c r="F28" s="18"/>
      <c r="G28" s="19"/>
      <c r="H28" s="19"/>
      <c r="I28" s="18"/>
      <c r="J28" s="18"/>
      <c r="K28" s="18"/>
      <c r="L28" s="18"/>
      <c r="M28" s="18"/>
      <c r="N28" s="18"/>
      <c r="O28" s="20" t="str">
        <f aca="false">IF(OR(I28="",I28=0,K28=""),"",K28/I28)</f>
        <v/>
      </c>
      <c r="P28" s="16" t="str">
        <f aca="false">IF(B28="","",IF(OR(AND(K28&lt;&gt;"",K28&gt;=設定!$B$7),AND(L28&lt;&gt;"",L28&gt;=設定!$B$8),AND(O28&lt;&gt;"",O28&gt;=設定!$B$9)),"○","×"))</f>
        <v/>
      </c>
      <c r="Q28" s="19"/>
      <c r="R28" s="21" t="str">
        <f aca="false">IF(B28="","",D28&amp;"-"&amp;N(K28))</f>
        <v/>
      </c>
    </row>
    <row r="29" customFormat="false" ht="15" hidden="false" customHeight="false" outlineLevel="0" collapsed="false">
      <c r="A29" s="16" t="n">
        <v>24</v>
      </c>
      <c r="B29" s="17"/>
      <c r="C29" s="16" t="str">
        <f aca="false">IF(B29="","",CHOOSE(WEEKDAY(B29),"日","月","火","水","木","金","土"))</f>
        <v/>
      </c>
      <c r="D29" s="16" t="str">
        <f aca="false">IF(B29="","",INT((B29-設定!$B$6)/7)+1)</f>
        <v/>
      </c>
      <c r="E29" s="18"/>
      <c r="F29" s="18"/>
      <c r="G29" s="19"/>
      <c r="H29" s="19"/>
      <c r="I29" s="18"/>
      <c r="J29" s="18"/>
      <c r="K29" s="18"/>
      <c r="L29" s="18"/>
      <c r="M29" s="18"/>
      <c r="N29" s="18"/>
      <c r="O29" s="20" t="str">
        <f aca="false">IF(OR(I29="",I29=0,K29=""),"",K29/I29)</f>
        <v/>
      </c>
      <c r="P29" s="16" t="str">
        <f aca="false">IF(B29="","",IF(OR(AND(K29&lt;&gt;"",K29&gt;=設定!$B$7),AND(L29&lt;&gt;"",L29&gt;=設定!$B$8),AND(O29&lt;&gt;"",O29&gt;=設定!$B$9)),"○","×"))</f>
        <v/>
      </c>
      <c r="Q29" s="19"/>
      <c r="R29" s="21" t="str">
        <f aca="false">IF(B29="","",D29&amp;"-"&amp;N(K29))</f>
        <v/>
      </c>
    </row>
    <row r="30" customFormat="false" ht="15" hidden="false" customHeight="false" outlineLevel="0" collapsed="false">
      <c r="A30" s="16" t="n">
        <v>25</v>
      </c>
      <c r="B30" s="17"/>
      <c r="C30" s="16" t="str">
        <f aca="false">IF(B30="","",CHOOSE(WEEKDAY(B30),"日","月","火","水","木","金","土"))</f>
        <v/>
      </c>
      <c r="D30" s="16" t="str">
        <f aca="false">IF(B30="","",INT((B30-設定!$B$6)/7)+1)</f>
        <v/>
      </c>
      <c r="E30" s="18"/>
      <c r="F30" s="18"/>
      <c r="G30" s="19"/>
      <c r="H30" s="19"/>
      <c r="I30" s="18"/>
      <c r="J30" s="18"/>
      <c r="K30" s="18"/>
      <c r="L30" s="18"/>
      <c r="M30" s="18"/>
      <c r="N30" s="18"/>
      <c r="O30" s="20" t="str">
        <f aca="false">IF(OR(I30="",I30=0,K30=""),"",K30/I30)</f>
        <v/>
      </c>
      <c r="P30" s="16" t="str">
        <f aca="false">IF(B30="","",IF(OR(AND(K30&lt;&gt;"",K30&gt;=設定!$B$7),AND(L30&lt;&gt;"",L30&gt;=設定!$B$8),AND(O30&lt;&gt;"",O30&gt;=設定!$B$9)),"○","×"))</f>
        <v/>
      </c>
      <c r="Q30" s="19"/>
      <c r="R30" s="21" t="str">
        <f aca="false">IF(B30="","",D30&amp;"-"&amp;N(K30))</f>
        <v/>
      </c>
    </row>
    <row r="31" customFormat="false" ht="15" hidden="false" customHeight="false" outlineLevel="0" collapsed="false">
      <c r="A31" s="16" t="n">
        <v>26</v>
      </c>
      <c r="B31" s="17"/>
      <c r="C31" s="16" t="str">
        <f aca="false">IF(B31="","",CHOOSE(WEEKDAY(B31),"日","月","火","水","木","金","土"))</f>
        <v/>
      </c>
      <c r="D31" s="16" t="str">
        <f aca="false">IF(B31="","",INT((B31-設定!$B$6)/7)+1)</f>
        <v/>
      </c>
      <c r="E31" s="18"/>
      <c r="F31" s="18"/>
      <c r="G31" s="19"/>
      <c r="H31" s="19"/>
      <c r="I31" s="18"/>
      <c r="J31" s="18"/>
      <c r="K31" s="18"/>
      <c r="L31" s="18"/>
      <c r="M31" s="18"/>
      <c r="N31" s="18"/>
      <c r="O31" s="20" t="str">
        <f aca="false">IF(OR(I31="",I31=0,K31=""),"",K31/I31)</f>
        <v/>
      </c>
      <c r="P31" s="16" t="str">
        <f aca="false">IF(B31="","",IF(OR(AND(K31&lt;&gt;"",K31&gt;=設定!$B$7),AND(L31&lt;&gt;"",L31&gt;=設定!$B$8),AND(O31&lt;&gt;"",O31&gt;=設定!$B$9)),"○","×"))</f>
        <v/>
      </c>
      <c r="Q31" s="19"/>
      <c r="R31" s="21" t="str">
        <f aca="false">IF(B31="","",D31&amp;"-"&amp;N(K31))</f>
        <v/>
      </c>
    </row>
    <row r="32" customFormat="false" ht="15" hidden="false" customHeight="false" outlineLevel="0" collapsed="false">
      <c r="A32" s="16" t="n">
        <v>27</v>
      </c>
      <c r="B32" s="17"/>
      <c r="C32" s="16" t="str">
        <f aca="false">IF(B32="","",CHOOSE(WEEKDAY(B32),"日","月","火","水","木","金","土"))</f>
        <v/>
      </c>
      <c r="D32" s="16" t="str">
        <f aca="false">IF(B32="","",INT((B32-設定!$B$6)/7)+1)</f>
        <v/>
      </c>
      <c r="E32" s="18"/>
      <c r="F32" s="18"/>
      <c r="G32" s="19"/>
      <c r="H32" s="19"/>
      <c r="I32" s="18"/>
      <c r="J32" s="18"/>
      <c r="K32" s="18"/>
      <c r="L32" s="18"/>
      <c r="M32" s="18"/>
      <c r="N32" s="18"/>
      <c r="O32" s="20" t="str">
        <f aca="false">IF(OR(I32="",I32=0,K32=""),"",K32/I32)</f>
        <v/>
      </c>
      <c r="P32" s="16" t="str">
        <f aca="false">IF(B32="","",IF(OR(AND(K32&lt;&gt;"",K32&gt;=設定!$B$7),AND(L32&lt;&gt;"",L32&gt;=設定!$B$8),AND(O32&lt;&gt;"",O32&gt;=設定!$B$9)),"○","×"))</f>
        <v/>
      </c>
      <c r="Q32" s="19"/>
      <c r="R32" s="21" t="str">
        <f aca="false">IF(B32="","",D32&amp;"-"&amp;N(K32))</f>
        <v/>
      </c>
    </row>
    <row r="33" customFormat="false" ht="15" hidden="false" customHeight="false" outlineLevel="0" collapsed="false">
      <c r="A33" s="16" t="n">
        <v>28</v>
      </c>
      <c r="B33" s="17"/>
      <c r="C33" s="16" t="str">
        <f aca="false">IF(B33="","",CHOOSE(WEEKDAY(B33),"日","月","火","水","木","金","土"))</f>
        <v/>
      </c>
      <c r="D33" s="16" t="str">
        <f aca="false">IF(B33="","",INT((B33-設定!$B$6)/7)+1)</f>
        <v/>
      </c>
      <c r="E33" s="18"/>
      <c r="F33" s="18"/>
      <c r="G33" s="19"/>
      <c r="H33" s="19"/>
      <c r="I33" s="18"/>
      <c r="J33" s="18"/>
      <c r="K33" s="18"/>
      <c r="L33" s="18"/>
      <c r="M33" s="18"/>
      <c r="N33" s="18"/>
      <c r="O33" s="20" t="str">
        <f aca="false">IF(OR(I33="",I33=0,K33=""),"",K33/I33)</f>
        <v/>
      </c>
      <c r="P33" s="16" t="str">
        <f aca="false">IF(B33="","",IF(OR(AND(K33&lt;&gt;"",K33&gt;=設定!$B$7),AND(L33&lt;&gt;"",L33&gt;=設定!$B$8),AND(O33&lt;&gt;"",O33&gt;=設定!$B$9)),"○","×"))</f>
        <v/>
      </c>
      <c r="Q33" s="19"/>
      <c r="R33" s="21" t="str">
        <f aca="false">IF(B33="","",D33&amp;"-"&amp;N(K33))</f>
        <v/>
      </c>
    </row>
    <row r="34" customFormat="false" ht="15" hidden="false" customHeight="false" outlineLevel="0" collapsed="false">
      <c r="A34" s="16" t="n">
        <v>29</v>
      </c>
      <c r="B34" s="17"/>
      <c r="C34" s="16" t="str">
        <f aca="false">IF(B34="","",CHOOSE(WEEKDAY(B34),"日","月","火","水","木","金","土"))</f>
        <v/>
      </c>
      <c r="D34" s="16" t="str">
        <f aca="false">IF(B34="","",INT((B34-設定!$B$6)/7)+1)</f>
        <v/>
      </c>
      <c r="E34" s="18"/>
      <c r="F34" s="18"/>
      <c r="G34" s="19"/>
      <c r="H34" s="19"/>
      <c r="I34" s="18"/>
      <c r="J34" s="18"/>
      <c r="K34" s="18"/>
      <c r="L34" s="18"/>
      <c r="M34" s="18"/>
      <c r="N34" s="18"/>
      <c r="O34" s="20" t="str">
        <f aca="false">IF(OR(I34="",I34=0,K34=""),"",K34/I34)</f>
        <v/>
      </c>
      <c r="P34" s="16" t="str">
        <f aca="false">IF(B34="","",IF(OR(AND(K34&lt;&gt;"",K34&gt;=設定!$B$7),AND(L34&lt;&gt;"",L34&gt;=設定!$B$8),AND(O34&lt;&gt;"",O34&gt;=設定!$B$9)),"○","×"))</f>
        <v/>
      </c>
      <c r="Q34" s="19"/>
      <c r="R34" s="21" t="str">
        <f aca="false">IF(B34="","",D34&amp;"-"&amp;N(K34))</f>
        <v/>
      </c>
    </row>
    <row r="35" customFormat="false" ht="15" hidden="false" customHeight="false" outlineLevel="0" collapsed="false">
      <c r="A35" s="16" t="n">
        <v>30</v>
      </c>
      <c r="B35" s="17"/>
      <c r="C35" s="16" t="str">
        <f aca="false">IF(B35="","",CHOOSE(WEEKDAY(B35),"日","月","火","水","木","金","土"))</f>
        <v/>
      </c>
      <c r="D35" s="16" t="str">
        <f aca="false">IF(B35="","",INT((B35-設定!$B$6)/7)+1)</f>
        <v/>
      </c>
      <c r="E35" s="18"/>
      <c r="F35" s="18"/>
      <c r="G35" s="19"/>
      <c r="H35" s="19"/>
      <c r="I35" s="18"/>
      <c r="J35" s="18"/>
      <c r="K35" s="18"/>
      <c r="L35" s="18"/>
      <c r="M35" s="18"/>
      <c r="N35" s="18"/>
      <c r="O35" s="20" t="str">
        <f aca="false">IF(OR(I35="",I35=0,K35=""),"",K35/I35)</f>
        <v/>
      </c>
      <c r="P35" s="16" t="str">
        <f aca="false">IF(B35="","",IF(OR(AND(K35&lt;&gt;"",K35&gt;=設定!$B$7),AND(L35&lt;&gt;"",L35&gt;=設定!$B$8),AND(O35&lt;&gt;"",O35&gt;=設定!$B$9)),"○","×"))</f>
        <v/>
      </c>
      <c r="Q35" s="19"/>
      <c r="R35" s="21" t="str">
        <f aca="false">IF(B35="","",D35&amp;"-"&amp;N(K35))</f>
        <v/>
      </c>
    </row>
    <row r="36" customFormat="false" ht="15" hidden="false" customHeight="false" outlineLevel="0" collapsed="false">
      <c r="A36" s="16" t="n">
        <v>31</v>
      </c>
      <c r="B36" s="17"/>
      <c r="C36" s="16" t="str">
        <f aca="false">IF(B36="","",CHOOSE(WEEKDAY(B36),"日","月","火","水","木","金","土"))</f>
        <v/>
      </c>
      <c r="D36" s="16" t="str">
        <f aca="false">IF(B36="","",INT((B36-設定!$B$6)/7)+1)</f>
        <v/>
      </c>
      <c r="E36" s="18"/>
      <c r="F36" s="18"/>
      <c r="G36" s="19"/>
      <c r="H36" s="19"/>
      <c r="I36" s="18"/>
      <c r="J36" s="18"/>
      <c r="K36" s="18"/>
      <c r="L36" s="18"/>
      <c r="M36" s="18"/>
      <c r="N36" s="18"/>
      <c r="O36" s="20" t="str">
        <f aca="false">IF(OR(I36="",I36=0,K36=""),"",K36/I36)</f>
        <v/>
      </c>
      <c r="P36" s="16" t="str">
        <f aca="false">IF(B36="","",IF(OR(AND(K36&lt;&gt;"",K36&gt;=設定!$B$7),AND(L36&lt;&gt;"",L36&gt;=設定!$B$8),AND(O36&lt;&gt;"",O36&gt;=設定!$B$9)),"○","×"))</f>
        <v/>
      </c>
      <c r="Q36" s="19"/>
      <c r="R36" s="21" t="str">
        <f aca="false">IF(B36="","",D36&amp;"-"&amp;N(K36))</f>
        <v/>
      </c>
    </row>
    <row r="37" customFormat="false" ht="15" hidden="false" customHeight="false" outlineLevel="0" collapsed="false">
      <c r="A37" s="16" t="n">
        <v>32</v>
      </c>
      <c r="B37" s="17"/>
      <c r="C37" s="16" t="str">
        <f aca="false">IF(B37="","",CHOOSE(WEEKDAY(B37),"日","月","火","水","木","金","土"))</f>
        <v/>
      </c>
      <c r="D37" s="16" t="str">
        <f aca="false">IF(B37="","",INT((B37-設定!$B$6)/7)+1)</f>
        <v/>
      </c>
      <c r="E37" s="18"/>
      <c r="F37" s="18"/>
      <c r="G37" s="19"/>
      <c r="H37" s="19"/>
      <c r="I37" s="18"/>
      <c r="J37" s="18"/>
      <c r="K37" s="18"/>
      <c r="L37" s="18"/>
      <c r="M37" s="18"/>
      <c r="N37" s="18"/>
      <c r="O37" s="20" t="str">
        <f aca="false">IF(OR(I37="",I37=0,K37=""),"",K37/I37)</f>
        <v/>
      </c>
      <c r="P37" s="16" t="str">
        <f aca="false">IF(B37="","",IF(OR(AND(K37&lt;&gt;"",K37&gt;=設定!$B$7),AND(L37&lt;&gt;"",L37&gt;=設定!$B$8),AND(O37&lt;&gt;"",O37&gt;=設定!$B$9)),"○","×"))</f>
        <v/>
      </c>
      <c r="Q37" s="19"/>
      <c r="R37" s="21" t="str">
        <f aca="false">IF(B37="","",D37&amp;"-"&amp;N(K37))</f>
        <v/>
      </c>
    </row>
    <row r="38" customFormat="false" ht="15" hidden="false" customHeight="false" outlineLevel="0" collapsed="false">
      <c r="A38" s="16" t="n">
        <v>33</v>
      </c>
      <c r="B38" s="17"/>
      <c r="C38" s="16" t="str">
        <f aca="false">IF(B38="","",CHOOSE(WEEKDAY(B38),"日","月","火","水","木","金","土"))</f>
        <v/>
      </c>
      <c r="D38" s="16" t="str">
        <f aca="false">IF(B38="","",INT((B38-設定!$B$6)/7)+1)</f>
        <v/>
      </c>
      <c r="E38" s="18"/>
      <c r="F38" s="18"/>
      <c r="G38" s="19"/>
      <c r="H38" s="19"/>
      <c r="I38" s="18"/>
      <c r="J38" s="18"/>
      <c r="K38" s="18"/>
      <c r="L38" s="18"/>
      <c r="M38" s="18"/>
      <c r="N38" s="18"/>
      <c r="O38" s="20" t="str">
        <f aca="false">IF(OR(I38="",I38=0,K38=""),"",K38/I38)</f>
        <v/>
      </c>
      <c r="P38" s="16" t="str">
        <f aca="false">IF(B38="","",IF(OR(AND(K38&lt;&gt;"",K38&gt;=設定!$B$7),AND(L38&lt;&gt;"",L38&gt;=設定!$B$8),AND(O38&lt;&gt;"",O38&gt;=設定!$B$9)),"○","×"))</f>
        <v/>
      </c>
      <c r="Q38" s="19"/>
      <c r="R38" s="21" t="str">
        <f aca="false">IF(B38="","",D38&amp;"-"&amp;N(K38))</f>
        <v/>
      </c>
    </row>
    <row r="39" customFormat="false" ht="15" hidden="false" customHeight="false" outlineLevel="0" collapsed="false">
      <c r="A39" s="16" t="n">
        <v>34</v>
      </c>
      <c r="B39" s="17"/>
      <c r="C39" s="16" t="str">
        <f aca="false">IF(B39="","",CHOOSE(WEEKDAY(B39),"日","月","火","水","木","金","土"))</f>
        <v/>
      </c>
      <c r="D39" s="16" t="str">
        <f aca="false">IF(B39="","",INT((B39-設定!$B$6)/7)+1)</f>
        <v/>
      </c>
      <c r="E39" s="18"/>
      <c r="F39" s="18"/>
      <c r="G39" s="19"/>
      <c r="H39" s="19"/>
      <c r="I39" s="18"/>
      <c r="J39" s="18"/>
      <c r="K39" s="18"/>
      <c r="L39" s="18"/>
      <c r="M39" s="18"/>
      <c r="N39" s="18"/>
      <c r="O39" s="20" t="str">
        <f aca="false">IF(OR(I39="",I39=0,K39=""),"",K39/I39)</f>
        <v/>
      </c>
      <c r="P39" s="16" t="str">
        <f aca="false">IF(B39="","",IF(OR(AND(K39&lt;&gt;"",K39&gt;=設定!$B$7),AND(L39&lt;&gt;"",L39&gt;=設定!$B$8),AND(O39&lt;&gt;"",O39&gt;=設定!$B$9)),"○","×"))</f>
        <v/>
      </c>
      <c r="Q39" s="19"/>
      <c r="R39" s="21" t="str">
        <f aca="false">IF(B39="","",D39&amp;"-"&amp;N(K39))</f>
        <v/>
      </c>
    </row>
    <row r="40" customFormat="false" ht="15" hidden="false" customHeight="false" outlineLevel="0" collapsed="false">
      <c r="A40" s="16" t="n">
        <v>35</v>
      </c>
      <c r="B40" s="17"/>
      <c r="C40" s="16" t="str">
        <f aca="false">IF(B40="","",CHOOSE(WEEKDAY(B40),"日","月","火","水","木","金","土"))</f>
        <v/>
      </c>
      <c r="D40" s="16" t="str">
        <f aca="false">IF(B40="","",INT((B40-設定!$B$6)/7)+1)</f>
        <v/>
      </c>
      <c r="E40" s="18"/>
      <c r="F40" s="18"/>
      <c r="G40" s="19"/>
      <c r="H40" s="19"/>
      <c r="I40" s="18"/>
      <c r="J40" s="18"/>
      <c r="K40" s="18"/>
      <c r="L40" s="18"/>
      <c r="M40" s="18"/>
      <c r="N40" s="18"/>
      <c r="O40" s="20" t="str">
        <f aca="false">IF(OR(I40="",I40=0,K40=""),"",K40/I40)</f>
        <v/>
      </c>
      <c r="P40" s="16" t="str">
        <f aca="false">IF(B40="","",IF(OR(AND(K40&lt;&gt;"",K40&gt;=設定!$B$7),AND(L40&lt;&gt;"",L40&gt;=設定!$B$8),AND(O40&lt;&gt;"",O40&gt;=設定!$B$9)),"○","×"))</f>
        <v/>
      </c>
      <c r="Q40" s="19"/>
      <c r="R40" s="21" t="str">
        <f aca="false">IF(B40="","",D40&amp;"-"&amp;N(K40))</f>
        <v/>
      </c>
    </row>
    <row r="41" customFormat="false" ht="15" hidden="false" customHeight="false" outlineLevel="0" collapsed="false">
      <c r="A41" s="16" t="n">
        <v>36</v>
      </c>
      <c r="B41" s="17"/>
      <c r="C41" s="16" t="str">
        <f aca="false">IF(B41="","",CHOOSE(WEEKDAY(B41),"日","月","火","水","木","金","土"))</f>
        <v/>
      </c>
      <c r="D41" s="16" t="str">
        <f aca="false">IF(B41="","",INT((B41-設定!$B$6)/7)+1)</f>
        <v/>
      </c>
      <c r="E41" s="18"/>
      <c r="F41" s="18"/>
      <c r="G41" s="19"/>
      <c r="H41" s="19"/>
      <c r="I41" s="18"/>
      <c r="J41" s="18"/>
      <c r="K41" s="18"/>
      <c r="L41" s="18"/>
      <c r="M41" s="18"/>
      <c r="N41" s="18"/>
      <c r="O41" s="20" t="str">
        <f aca="false">IF(OR(I41="",I41=0,K41=""),"",K41/I41)</f>
        <v/>
      </c>
      <c r="P41" s="16" t="str">
        <f aca="false">IF(B41="","",IF(OR(AND(K41&lt;&gt;"",K41&gt;=設定!$B$7),AND(L41&lt;&gt;"",L41&gt;=設定!$B$8),AND(O41&lt;&gt;"",O41&gt;=設定!$B$9)),"○","×"))</f>
        <v/>
      </c>
      <c r="Q41" s="19"/>
      <c r="R41" s="21" t="str">
        <f aca="false">IF(B41="","",D41&amp;"-"&amp;N(K41))</f>
        <v/>
      </c>
    </row>
    <row r="42" customFormat="false" ht="15" hidden="false" customHeight="false" outlineLevel="0" collapsed="false">
      <c r="A42" s="16" t="n">
        <v>37</v>
      </c>
      <c r="B42" s="17"/>
      <c r="C42" s="16" t="str">
        <f aca="false">IF(B42="","",CHOOSE(WEEKDAY(B42),"日","月","火","水","木","金","土"))</f>
        <v/>
      </c>
      <c r="D42" s="16" t="str">
        <f aca="false">IF(B42="","",INT((B42-設定!$B$6)/7)+1)</f>
        <v/>
      </c>
      <c r="E42" s="18"/>
      <c r="F42" s="18"/>
      <c r="G42" s="19"/>
      <c r="H42" s="19"/>
      <c r="I42" s="18"/>
      <c r="J42" s="18"/>
      <c r="K42" s="18"/>
      <c r="L42" s="18"/>
      <c r="M42" s="18"/>
      <c r="N42" s="18"/>
      <c r="O42" s="20" t="str">
        <f aca="false">IF(OR(I42="",I42=0,K42=""),"",K42/I42)</f>
        <v/>
      </c>
      <c r="P42" s="16" t="str">
        <f aca="false">IF(B42="","",IF(OR(AND(K42&lt;&gt;"",K42&gt;=設定!$B$7),AND(L42&lt;&gt;"",L42&gt;=設定!$B$8),AND(O42&lt;&gt;"",O42&gt;=設定!$B$9)),"○","×"))</f>
        <v/>
      </c>
      <c r="Q42" s="19"/>
      <c r="R42" s="21" t="str">
        <f aca="false">IF(B42="","",D42&amp;"-"&amp;N(K42))</f>
        <v/>
      </c>
    </row>
    <row r="43" customFormat="false" ht="15" hidden="false" customHeight="false" outlineLevel="0" collapsed="false">
      <c r="A43" s="16" t="n">
        <v>38</v>
      </c>
      <c r="B43" s="17"/>
      <c r="C43" s="16" t="str">
        <f aca="false">IF(B43="","",CHOOSE(WEEKDAY(B43),"日","月","火","水","木","金","土"))</f>
        <v/>
      </c>
      <c r="D43" s="16" t="str">
        <f aca="false">IF(B43="","",INT((B43-設定!$B$6)/7)+1)</f>
        <v/>
      </c>
      <c r="E43" s="18"/>
      <c r="F43" s="18"/>
      <c r="G43" s="19"/>
      <c r="H43" s="19"/>
      <c r="I43" s="18"/>
      <c r="J43" s="18"/>
      <c r="K43" s="18"/>
      <c r="L43" s="18"/>
      <c r="M43" s="18"/>
      <c r="N43" s="18"/>
      <c r="O43" s="20" t="str">
        <f aca="false">IF(OR(I43="",I43=0,K43=""),"",K43/I43)</f>
        <v/>
      </c>
      <c r="P43" s="16" t="str">
        <f aca="false">IF(B43="","",IF(OR(AND(K43&lt;&gt;"",K43&gt;=設定!$B$7),AND(L43&lt;&gt;"",L43&gt;=設定!$B$8),AND(O43&lt;&gt;"",O43&gt;=設定!$B$9)),"○","×"))</f>
        <v/>
      </c>
      <c r="Q43" s="19"/>
      <c r="R43" s="21" t="str">
        <f aca="false">IF(B43="","",D43&amp;"-"&amp;N(K43))</f>
        <v/>
      </c>
    </row>
    <row r="44" customFormat="false" ht="15" hidden="false" customHeight="false" outlineLevel="0" collapsed="false">
      <c r="A44" s="16" t="n">
        <v>39</v>
      </c>
      <c r="B44" s="17"/>
      <c r="C44" s="16" t="str">
        <f aca="false">IF(B44="","",CHOOSE(WEEKDAY(B44),"日","月","火","水","木","金","土"))</f>
        <v/>
      </c>
      <c r="D44" s="16" t="str">
        <f aca="false">IF(B44="","",INT((B44-設定!$B$6)/7)+1)</f>
        <v/>
      </c>
      <c r="E44" s="18"/>
      <c r="F44" s="18"/>
      <c r="G44" s="19"/>
      <c r="H44" s="19"/>
      <c r="I44" s="18"/>
      <c r="J44" s="18"/>
      <c r="K44" s="18"/>
      <c r="L44" s="18"/>
      <c r="M44" s="18"/>
      <c r="N44" s="18"/>
      <c r="O44" s="20" t="str">
        <f aca="false">IF(OR(I44="",I44=0,K44=""),"",K44/I44)</f>
        <v/>
      </c>
      <c r="P44" s="16" t="str">
        <f aca="false">IF(B44="","",IF(OR(AND(K44&lt;&gt;"",K44&gt;=設定!$B$7),AND(L44&lt;&gt;"",L44&gt;=設定!$B$8),AND(O44&lt;&gt;"",O44&gt;=設定!$B$9)),"○","×"))</f>
        <v/>
      </c>
      <c r="Q44" s="19"/>
      <c r="R44" s="21" t="str">
        <f aca="false">IF(B44="","",D44&amp;"-"&amp;N(K44))</f>
        <v/>
      </c>
    </row>
    <row r="45" customFormat="false" ht="15" hidden="false" customHeight="false" outlineLevel="0" collapsed="false">
      <c r="A45" s="16" t="n">
        <v>40</v>
      </c>
      <c r="B45" s="17"/>
      <c r="C45" s="16" t="str">
        <f aca="false">IF(B45="","",CHOOSE(WEEKDAY(B45),"日","月","火","水","木","金","土"))</f>
        <v/>
      </c>
      <c r="D45" s="16" t="str">
        <f aca="false">IF(B45="","",INT((B45-設定!$B$6)/7)+1)</f>
        <v/>
      </c>
      <c r="E45" s="18"/>
      <c r="F45" s="18"/>
      <c r="G45" s="19"/>
      <c r="H45" s="19"/>
      <c r="I45" s="18"/>
      <c r="J45" s="18"/>
      <c r="K45" s="18"/>
      <c r="L45" s="18"/>
      <c r="M45" s="18"/>
      <c r="N45" s="18"/>
      <c r="O45" s="20" t="str">
        <f aca="false">IF(OR(I45="",I45=0,K45=""),"",K45/I45)</f>
        <v/>
      </c>
      <c r="P45" s="16" t="str">
        <f aca="false">IF(B45="","",IF(OR(AND(K45&lt;&gt;"",K45&gt;=設定!$B$7),AND(L45&lt;&gt;"",L45&gt;=設定!$B$8),AND(O45&lt;&gt;"",O45&gt;=設定!$B$9)),"○","×"))</f>
        <v/>
      </c>
      <c r="Q45" s="19"/>
      <c r="R45" s="21" t="str">
        <f aca="false">IF(B45="","",D45&amp;"-"&amp;N(K45))</f>
        <v/>
      </c>
    </row>
    <row r="46" customFormat="false" ht="15" hidden="false" customHeight="false" outlineLevel="0" collapsed="false">
      <c r="A46" s="16" t="n">
        <v>41</v>
      </c>
      <c r="B46" s="17"/>
      <c r="C46" s="16" t="str">
        <f aca="false">IF(B46="","",CHOOSE(WEEKDAY(B46),"日","月","火","水","木","金","土"))</f>
        <v/>
      </c>
      <c r="D46" s="16" t="str">
        <f aca="false">IF(B46="","",INT((B46-設定!$B$6)/7)+1)</f>
        <v/>
      </c>
      <c r="E46" s="18"/>
      <c r="F46" s="18"/>
      <c r="G46" s="19"/>
      <c r="H46" s="19"/>
      <c r="I46" s="18"/>
      <c r="J46" s="18"/>
      <c r="K46" s="18"/>
      <c r="L46" s="18"/>
      <c r="M46" s="18"/>
      <c r="N46" s="18"/>
      <c r="O46" s="20" t="str">
        <f aca="false">IF(OR(I46="",I46=0,K46=""),"",K46/I46)</f>
        <v/>
      </c>
      <c r="P46" s="16" t="str">
        <f aca="false">IF(B46="","",IF(OR(AND(K46&lt;&gt;"",K46&gt;=設定!$B$7),AND(L46&lt;&gt;"",L46&gt;=設定!$B$8),AND(O46&lt;&gt;"",O46&gt;=設定!$B$9)),"○","×"))</f>
        <v/>
      </c>
      <c r="Q46" s="19"/>
      <c r="R46" s="21" t="str">
        <f aca="false">IF(B46="","",D46&amp;"-"&amp;N(K46))</f>
        <v/>
      </c>
    </row>
    <row r="47" customFormat="false" ht="15" hidden="false" customHeight="false" outlineLevel="0" collapsed="false">
      <c r="A47" s="16" t="n">
        <v>42</v>
      </c>
      <c r="B47" s="17"/>
      <c r="C47" s="16" t="str">
        <f aca="false">IF(B47="","",CHOOSE(WEEKDAY(B47),"日","月","火","水","木","金","土"))</f>
        <v/>
      </c>
      <c r="D47" s="16" t="str">
        <f aca="false">IF(B47="","",INT((B47-設定!$B$6)/7)+1)</f>
        <v/>
      </c>
      <c r="E47" s="18"/>
      <c r="F47" s="18"/>
      <c r="G47" s="19"/>
      <c r="H47" s="19"/>
      <c r="I47" s="18"/>
      <c r="J47" s="18"/>
      <c r="K47" s="18"/>
      <c r="L47" s="18"/>
      <c r="M47" s="18"/>
      <c r="N47" s="18"/>
      <c r="O47" s="20" t="str">
        <f aca="false">IF(OR(I47="",I47=0,K47=""),"",K47/I47)</f>
        <v/>
      </c>
      <c r="P47" s="16" t="str">
        <f aca="false">IF(B47="","",IF(OR(AND(K47&lt;&gt;"",K47&gt;=設定!$B$7),AND(L47&lt;&gt;"",L47&gt;=設定!$B$8),AND(O47&lt;&gt;"",O47&gt;=設定!$B$9)),"○","×"))</f>
        <v/>
      </c>
      <c r="Q47" s="19"/>
      <c r="R47" s="21" t="str">
        <f aca="false">IF(B47="","",D47&amp;"-"&amp;N(K47))</f>
        <v/>
      </c>
    </row>
    <row r="48" customFormat="false" ht="15" hidden="false" customHeight="false" outlineLevel="0" collapsed="false">
      <c r="A48" s="16" t="n">
        <v>43</v>
      </c>
      <c r="B48" s="17"/>
      <c r="C48" s="16" t="str">
        <f aca="false">IF(B48="","",CHOOSE(WEEKDAY(B48),"日","月","火","水","木","金","土"))</f>
        <v/>
      </c>
      <c r="D48" s="16" t="str">
        <f aca="false">IF(B48="","",INT((B48-設定!$B$6)/7)+1)</f>
        <v/>
      </c>
      <c r="E48" s="18"/>
      <c r="F48" s="18"/>
      <c r="G48" s="19"/>
      <c r="H48" s="19"/>
      <c r="I48" s="18"/>
      <c r="J48" s="18"/>
      <c r="K48" s="18"/>
      <c r="L48" s="18"/>
      <c r="M48" s="18"/>
      <c r="N48" s="18"/>
      <c r="O48" s="20" t="str">
        <f aca="false">IF(OR(I48="",I48=0,K48=""),"",K48/I48)</f>
        <v/>
      </c>
      <c r="P48" s="16" t="str">
        <f aca="false">IF(B48="","",IF(OR(AND(K48&lt;&gt;"",K48&gt;=設定!$B$7),AND(L48&lt;&gt;"",L48&gt;=設定!$B$8),AND(O48&lt;&gt;"",O48&gt;=設定!$B$9)),"○","×"))</f>
        <v/>
      </c>
      <c r="Q48" s="19"/>
      <c r="R48" s="21" t="str">
        <f aca="false">IF(B48="","",D48&amp;"-"&amp;N(K48))</f>
        <v/>
      </c>
    </row>
    <row r="49" customFormat="false" ht="15" hidden="false" customHeight="false" outlineLevel="0" collapsed="false">
      <c r="A49" s="16" t="n">
        <v>44</v>
      </c>
      <c r="B49" s="17"/>
      <c r="C49" s="16" t="str">
        <f aca="false">IF(B49="","",CHOOSE(WEEKDAY(B49),"日","月","火","水","木","金","土"))</f>
        <v/>
      </c>
      <c r="D49" s="16" t="str">
        <f aca="false">IF(B49="","",INT((B49-設定!$B$6)/7)+1)</f>
        <v/>
      </c>
      <c r="E49" s="18"/>
      <c r="F49" s="18"/>
      <c r="G49" s="19"/>
      <c r="H49" s="19"/>
      <c r="I49" s="18"/>
      <c r="J49" s="18"/>
      <c r="K49" s="18"/>
      <c r="L49" s="18"/>
      <c r="M49" s="18"/>
      <c r="N49" s="18"/>
      <c r="O49" s="20" t="str">
        <f aca="false">IF(OR(I49="",I49=0,K49=""),"",K49/I49)</f>
        <v/>
      </c>
      <c r="P49" s="16" t="str">
        <f aca="false">IF(B49="","",IF(OR(AND(K49&lt;&gt;"",K49&gt;=設定!$B$7),AND(L49&lt;&gt;"",L49&gt;=設定!$B$8),AND(O49&lt;&gt;"",O49&gt;=設定!$B$9)),"○","×"))</f>
        <v/>
      </c>
      <c r="Q49" s="19"/>
      <c r="R49" s="21" t="str">
        <f aca="false">IF(B49="","",D49&amp;"-"&amp;N(K49))</f>
        <v/>
      </c>
    </row>
    <row r="50" customFormat="false" ht="15" hidden="false" customHeight="false" outlineLevel="0" collapsed="false">
      <c r="A50" s="16" t="n">
        <v>45</v>
      </c>
      <c r="B50" s="17"/>
      <c r="C50" s="16" t="str">
        <f aca="false">IF(B50="","",CHOOSE(WEEKDAY(B50),"日","月","火","水","木","金","土"))</f>
        <v/>
      </c>
      <c r="D50" s="16" t="str">
        <f aca="false">IF(B50="","",INT((B50-設定!$B$6)/7)+1)</f>
        <v/>
      </c>
      <c r="E50" s="18"/>
      <c r="F50" s="18"/>
      <c r="G50" s="19"/>
      <c r="H50" s="19"/>
      <c r="I50" s="18"/>
      <c r="J50" s="18"/>
      <c r="K50" s="18"/>
      <c r="L50" s="18"/>
      <c r="M50" s="18"/>
      <c r="N50" s="18"/>
      <c r="O50" s="20" t="str">
        <f aca="false">IF(OR(I50="",I50=0,K50=""),"",K50/I50)</f>
        <v/>
      </c>
      <c r="P50" s="16" t="str">
        <f aca="false">IF(B50="","",IF(OR(AND(K50&lt;&gt;"",K50&gt;=設定!$B$7),AND(L50&lt;&gt;"",L50&gt;=設定!$B$8),AND(O50&lt;&gt;"",O50&gt;=設定!$B$9)),"○","×"))</f>
        <v/>
      </c>
      <c r="Q50" s="19"/>
      <c r="R50" s="21" t="str">
        <f aca="false">IF(B50="","",D50&amp;"-"&amp;N(K50))</f>
        <v/>
      </c>
    </row>
    <row r="51" customFormat="false" ht="15" hidden="false" customHeight="false" outlineLevel="0" collapsed="false">
      <c r="A51" s="16" t="n">
        <v>46</v>
      </c>
      <c r="B51" s="17"/>
      <c r="C51" s="16" t="str">
        <f aca="false">IF(B51="","",CHOOSE(WEEKDAY(B51),"日","月","火","水","木","金","土"))</f>
        <v/>
      </c>
      <c r="D51" s="16" t="str">
        <f aca="false">IF(B51="","",INT((B51-設定!$B$6)/7)+1)</f>
        <v/>
      </c>
      <c r="E51" s="18"/>
      <c r="F51" s="18"/>
      <c r="G51" s="19"/>
      <c r="H51" s="19"/>
      <c r="I51" s="18"/>
      <c r="J51" s="18"/>
      <c r="K51" s="18"/>
      <c r="L51" s="18"/>
      <c r="M51" s="18"/>
      <c r="N51" s="18"/>
      <c r="O51" s="20" t="str">
        <f aca="false">IF(OR(I51="",I51=0,K51=""),"",K51/I51)</f>
        <v/>
      </c>
      <c r="P51" s="16" t="str">
        <f aca="false">IF(B51="","",IF(OR(AND(K51&lt;&gt;"",K51&gt;=設定!$B$7),AND(L51&lt;&gt;"",L51&gt;=設定!$B$8),AND(O51&lt;&gt;"",O51&gt;=設定!$B$9)),"○","×"))</f>
        <v/>
      </c>
      <c r="Q51" s="19"/>
      <c r="R51" s="21" t="str">
        <f aca="false">IF(B51="","",D51&amp;"-"&amp;N(K51))</f>
        <v/>
      </c>
    </row>
    <row r="52" customFormat="false" ht="15" hidden="false" customHeight="false" outlineLevel="0" collapsed="false">
      <c r="A52" s="16" t="n">
        <v>47</v>
      </c>
      <c r="B52" s="17"/>
      <c r="C52" s="16" t="str">
        <f aca="false">IF(B52="","",CHOOSE(WEEKDAY(B52),"日","月","火","水","木","金","土"))</f>
        <v/>
      </c>
      <c r="D52" s="16" t="str">
        <f aca="false">IF(B52="","",INT((B52-設定!$B$6)/7)+1)</f>
        <v/>
      </c>
      <c r="E52" s="18"/>
      <c r="F52" s="18"/>
      <c r="G52" s="19"/>
      <c r="H52" s="19"/>
      <c r="I52" s="18"/>
      <c r="J52" s="18"/>
      <c r="K52" s="18"/>
      <c r="L52" s="18"/>
      <c r="M52" s="18"/>
      <c r="N52" s="18"/>
      <c r="O52" s="20" t="str">
        <f aca="false">IF(OR(I52="",I52=0,K52=""),"",K52/I52)</f>
        <v/>
      </c>
      <c r="P52" s="16" t="str">
        <f aca="false">IF(B52="","",IF(OR(AND(K52&lt;&gt;"",K52&gt;=設定!$B$7),AND(L52&lt;&gt;"",L52&gt;=設定!$B$8),AND(O52&lt;&gt;"",O52&gt;=設定!$B$9)),"○","×"))</f>
        <v/>
      </c>
      <c r="Q52" s="19"/>
      <c r="R52" s="21" t="str">
        <f aca="false">IF(B52="","",D52&amp;"-"&amp;N(K52))</f>
        <v/>
      </c>
    </row>
    <row r="53" customFormat="false" ht="15" hidden="false" customHeight="false" outlineLevel="0" collapsed="false">
      <c r="A53" s="16" t="n">
        <v>48</v>
      </c>
      <c r="B53" s="17"/>
      <c r="C53" s="16" t="str">
        <f aca="false">IF(B53="","",CHOOSE(WEEKDAY(B53),"日","月","火","水","木","金","土"))</f>
        <v/>
      </c>
      <c r="D53" s="16" t="str">
        <f aca="false">IF(B53="","",INT((B53-設定!$B$6)/7)+1)</f>
        <v/>
      </c>
      <c r="E53" s="18"/>
      <c r="F53" s="18"/>
      <c r="G53" s="19"/>
      <c r="H53" s="19"/>
      <c r="I53" s="18"/>
      <c r="J53" s="18"/>
      <c r="K53" s="18"/>
      <c r="L53" s="18"/>
      <c r="M53" s="18"/>
      <c r="N53" s="18"/>
      <c r="O53" s="20" t="str">
        <f aca="false">IF(OR(I53="",I53=0,K53=""),"",K53/I53)</f>
        <v/>
      </c>
      <c r="P53" s="16" t="str">
        <f aca="false">IF(B53="","",IF(OR(AND(K53&lt;&gt;"",K53&gt;=設定!$B$7),AND(L53&lt;&gt;"",L53&gt;=設定!$B$8),AND(O53&lt;&gt;"",O53&gt;=設定!$B$9)),"○","×"))</f>
        <v/>
      </c>
      <c r="Q53" s="19"/>
      <c r="R53" s="21" t="str">
        <f aca="false">IF(B53="","",D53&amp;"-"&amp;N(K53))</f>
        <v/>
      </c>
    </row>
    <row r="54" customFormat="false" ht="15" hidden="false" customHeight="false" outlineLevel="0" collapsed="false">
      <c r="A54" s="16" t="n">
        <v>49</v>
      </c>
      <c r="B54" s="17"/>
      <c r="C54" s="16" t="str">
        <f aca="false">IF(B54="","",CHOOSE(WEEKDAY(B54),"日","月","火","水","木","金","土"))</f>
        <v/>
      </c>
      <c r="D54" s="16" t="str">
        <f aca="false">IF(B54="","",INT((B54-設定!$B$6)/7)+1)</f>
        <v/>
      </c>
      <c r="E54" s="18"/>
      <c r="F54" s="18"/>
      <c r="G54" s="19"/>
      <c r="H54" s="19"/>
      <c r="I54" s="18"/>
      <c r="J54" s="18"/>
      <c r="K54" s="18"/>
      <c r="L54" s="18"/>
      <c r="M54" s="18"/>
      <c r="N54" s="18"/>
      <c r="O54" s="20" t="str">
        <f aca="false">IF(OR(I54="",I54=0,K54=""),"",K54/I54)</f>
        <v/>
      </c>
      <c r="P54" s="16" t="str">
        <f aca="false">IF(B54="","",IF(OR(AND(K54&lt;&gt;"",K54&gt;=設定!$B$7),AND(L54&lt;&gt;"",L54&gt;=設定!$B$8),AND(O54&lt;&gt;"",O54&gt;=設定!$B$9)),"○","×"))</f>
        <v/>
      </c>
      <c r="Q54" s="19"/>
      <c r="R54" s="21" t="str">
        <f aca="false">IF(B54="","",D54&amp;"-"&amp;N(K54))</f>
        <v/>
      </c>
    </row>
    <row r="55" customFormat="false" ht="15" hidden="false" customHeight="false" outlineLevel="0" collapsed="false">
      <c r="A55" s="16" t="n">
        <v>50</v>
      </c>
      <c r="B55" s="17"/>
      <c r="C55" s="16" t="str">
        <f aca="false">IF(B55="","",CHOOSE(WEEKDAY(B55),"日","月","火","水","木","金","土"))</f>
        <v/>
      </c>
      <c r="D55" s="16" t="str">
        <f aca="false">IF(B55="","",INT((B55-設定!$B$6)/7)+1)</f>
        <v/>
      </c>
      <c r="E55" s="18"/>
      <c r="F55" s="18"/>
      <c r="G55" s="19"/>
      <c r="H55" s="19"/>
      <c r="I55" s="18"/>
      <c r="J55" s="18"/>
      <c r="K55" s="18"/>
      <c r="L55" s="18"/>
      <c r="M55" s="18"/>
      <c r="N55" s="18"/>
      <c r="O55" s="20" t="str">
        <f aca="false">IF(OR(I55="",I55=0,K55=""),"",K55/I55)</f>
        <v/>
      </c>
      <c r="P55" s="16" t="str">
        <f aca="false">IF(B55="","",IF(OR(AND(K55&lt;&gt;"",K55&gt;=設定!$B$7),AND(L55&lt;&gt;"",L55&gt;=設定!$B$8),AND(O55&lt;&gt;"",O55&gt;=設定!$B$9)),"○","×"))</f>
        <v/>
      </c>
      <c r="Q55" s="19"/>
      <c r="R55" s="21" t="str">
        <f aca="false">IF(B55="","",D55&amp;"-"&amp;N(K55))</f>
        <v/>
      </c>
    </row>
    <row r="56" customFormat="false" ht="15" hidden="false" customHeight="false" outlineLevel="0" collapsed="false">
      <c r="A56" s="16" t="n">
        <v>51</v>
      </c>
      <c r="B56" s="17"/>
      <c r="C56" s="16" t="str">
        <f aca="false">IF(B56="","",CHOOSE(WEEKDAY(B56),"日","月","火","水","木","金","土"))</f>
        <v/>
      </c>
      <c r="D56" s="16" t="str">
        <f aca="false">IF(B56="","",INT((B56-設定!$B$6)/7)+1)</f>
        <v/>
      </c>
      <c r="E56" s="18"/>
      <c r="F56" s="18"/>
      <c r="G56" s="19"/>
      <c r="H56" s="19"/>
      <c r="I56" s="18"/>
      <c r="J56" s="18"/>
      <c r="K56" s="18"/>
      <c r="L56" s="18"/>
      <c r="M56" s="18"/>
      <c r="N56" s="18"/>
      <c r="O56" s="20" t="str">
        <f aca="false">IF(OR(I56="",I56=0,K56=""),"",K56/I56)</f>
        <v/>
      </c>
      <c r="P56" s="16" t="str">
        <f aca="false">IF(B56="","",IF(OR(AND(K56&lt;&gt;"",K56&gt;=設定!$B$7),AND(L56&lt;&gt;"",L56&gt;=設定!$B$8),AND(O56&lt;&gt;"",O56&gt;=設定!$B$9)),"○","×"))</f>
        <v/>
      </c>
      <c r="Q56" s="19"/>
      <c r="R56" s="21" t="str">
        <f aca="false">IF(B56="","",D56&amp;"-"&amp;N(K56))</f>
        <v/>
      </c>
    </row>
    <row r="57" customFormat="false" ht="15" hidden="false" customHeight="false" outlineLevel="0" collapsed="false">
      <c r="A57" s="16" t="n">
        <v>52</v>
      </c>
      <c r="B57" s="17"/>
      <c r="C57" s="16" t="str">
        <f aca="false">IF(B57="","",CHOOSE(WEEKDAY(B57),"日","月","火","水","木","金","土"))</f>
        <v/>
      </c>
      <c r="D57" s="16" t="str">
        <f aca="false">IF(B57="","",INT((B57-設定!$B$6)/7)+1)</f>
        <v/>
      </c>
      <c r="E57" s="18"/>
      <c r="F57" s="18"/>
      <c r="G57" s="19"/>
      <c r="H57" s="19"/>
      <c r="I57" s="18"/>
      <c r="J57" s="18"/>
      <c r="K57" s="18"/>
      <c r="L57" s="18"/>
      <c r="M57" s="18"/>
      <c r="N57" s="18"/>
      <c r="O57" s="20" t="str">
        <f aca="false">IF(OR(I57="",I57=0,K57=""),"",K57/I57)</f>
        <v/>
      </c>
      <c r="P57" s="16" t="str">
        <f aca="false">IF(B57="","",IF(OR(AND(K57&lt;&gt;"",K57&gt;=設定!$B$7),AND(L57&lt;&gt;"",L57&gt;=設定!$B$8),AND(O57&lt;&gt;"",O57&gt;=設定!$B$9)),"○","×"))</f>
        <v/>
      </c>
      <c r="Q57" s="19"/>
      <c r="R57" s="21" t="str">
        <f aca="false">IF(B57="","",D57&amp;"-"&amp;N(K57))</f>
        <v/>
      </c>
    </row>
    <row r="58" customFormat="false" ht="15" hidden="false" customHeight="false" outlineLevel="0" collapsed="false">
      <c r="A58" s="16" t="n">
        <v>53</v>
      </c>
      <c r="B58" s="17"/>
      <c r="C58" s="16" t="str">
        <f aca="false">IF(B58="","",CHOOSE(WEEKDAY(B58),"日","月","火","水","木","金","土"))</f>
        <v/>
      </c>
      <c r="D58" s="16" t="str">
        <f aca="false">IF(B58="","",INT((B58-設定!$B$6)/7)+1)</f>
        <v/>
      </c>
      <c r="E58" s="18"/>
      <c r="F58" s="18"/>
      <c r="G58" s="19"/>
      <c r="H58" s="19"/>
      <c r="I58" s="18"/>
      <c r="J58" s="18"/>
      <c r="K58" s="18"/>
      <c r="L58" s="18"/>
      <c r="M58" s="18"/>
      <c r="N58" s="18"/>
      <c r="O58" s="20" t="str">
        <f aca="false">IF(OR(I58="",I58=0,K58=""),"",K58/I58)</f>
        <v/>
      </c>
      <c r="P58" s="16" t="str">
        <f aca="false">IF(B58="","",IF(OR(AND(K58&lt;&gt;"",K58&gt;=設定!$B$7),AND(L58&lt;&gt;"",L58&gt;=設定!$B$8),AND(O58&lt;&gt;"",O58&gt;=設定!$B$9)),"○","×"))</f>
        <v/>
      </c>
      <c r="Q58" s="19"/>
      <c r="R58" s="21" t="str">
        <f aca="false">IF(B58="","",D58&amp;"-"&amp;N(K58))</f>
        <v/>
      </c>
    </row>
    <row r="59" customFormat="false" ht="15" hidden="false" customHeight="false" outlineLevel="0" collapsed="false">
      <c r="A59" s="16" t="n">
        <v>54</v>
      </c>
      <c r="B59" s="17"/>
      <c r="C59" s="16" t="str">
        <f aca="false">IF(B59="","",CHOOSE(WEEKDAY(B59),"日","月","火","水","木","金","土"))</f>
        <v/>
      </c>
      <c r="D59" s="16" t="str">
        <f aca="false">IF(B59="","",INT((B59-設定!$B$6)/7)+1)</f>
        <v/>
      </c>
      <c r="E59" s="18"/>
      <c r="F59" s="18"/>
      <c r="G59" s="19"/>
      <c r="H59" s="19"/>
      <c r="I59" s="18"/>
      <c r="J59" s="18"/>
      <c r="K59" s="18"/>
      <c r="L59" s="18"/>
      <c r="M59" s="18"/>
      <c r="N59" s="18"/>
      <c r="O59" s="20" t="str">
        <f aca="false">IF(OR(I59="",I59=0,K59=""),"",K59/I59)</f>
        <v/>
      </c>
      <c r="P59" s="16" t="str">
        <f aca="false">IF(B59="","",IF(OR(AND(K59&lt;&gt;"",K59&gt;=設定!$B$7),AND(L59&lt;&gt;"",L59&gt;=設定!$B$8),AND(O59&lt;&gt;"",O59&gt;=設定!$B$9)),"○","×"))</f>
        <v/>
      </c>
      <c r="Q59" s="19"/>
      <c r="R59" s="21" t="str">
        <f aca="false">IF(B59="","",D59&amp;"-"&amp;N(K59))</f>
        <v/>
      </c>
    </row>
    <row r="60" customFormat="false" ht="15" hidden="false" customHeight="false" outlineLevel="0" collapsed="false">
      <c r="A60" s="16" t="n">
        <v>55</v>
      </c>
      <c r="B60" s="17"/>
      <c r="C60" s="16" t="str">
        <f aca="false">IF(B60="","",CHOOSE(WEEKDAY(B60),"日","月","火","水","木","金","土"))</f>
        <v/>
      </c>
      <c r="D60" s="16" t="str">
        <f aca="false">IF(B60="","",INT((B60-設定!$B$6)/7)+1)</f>
        <v/>
      </c>
      <c r="E60" s="18"/>
      <c r="F60" s="18"/>
      <c r="G60" s="19"/>
      <c r="H60" s="19"/>
      <c r="I60" s="18"/>
      <c r="J60" s="18"/>
      <c r="K60" s="18"/>
      <c r="L60" s="18"/>
      <c r="M60" s="18"/>
      <c r="N60" s="18"/>
      <c r="O60" s="20" t="str">
        <f aca="false">IF(OR(I60="",I60=0,K60=""),"",K60/I60)</f>
        <v/>
      </c>
      <c r="P60" s="16" t="str">
        <f aca="false">IF(B60="","",IF(OR(AND(K60&lt;&gt;"",K60&gt;=設定!$B$7),AND(L60&lt;&gt;"",L60&gt;=設定!$B$8),AND(O60&lt;&gt;"",O60&gt;=設定!$B$9)),"○","×"))</f>
        <v/>
      </c>
      <c r="Q60" s="19"/>
      <c r="R60" s="21" t="str">
        <f aca="false">IF(B60="","",D60&amp;"-"&amp;N(K60))</f>
        <v/>
      </c>
    </row>
    <row r="61" customFormat="false" ht="15" hidden="false" customHeight="false" outlineLevel="0" collapsed="false">
      <c r="A61" s="16" t="n">
        <v>56</v>
      </c>
      <c r="B61" s="17"/>
      <c r="C61" s="16" t="str">
        <f aca="false">IF(B61="","",CHOOSE(WEEKDAY(B61),"日","月","火","水","木","金","土"))</f>
        <v/>
      </c>
      <c r="D61" s="16" t="str">
        <f aca="false">IF(B61="","",INT((B61-設定!$B$6)/7)+1)</f>
        <v/>
      </c>
      <c r="E61" s="18"/>
      <c r="F61" s="18"/>
      <c r="G61" s="19"/>
      <c r="H61" s="19"/>
      <c r="I61" s="18"/>
      <c r="J61" s="18"/>
      <c r="K61" s="18"/>
      <c r="L61" s="18"/>
      <c r="M61" s="18"/>
      <c r="N61" s="18"/>
      <c r="O61" s="20" t="str">
        <f aca="false">IF(OR(I61="",I61=0,K61=""),"",K61/I61)</f>
        <v/>
      </c>
      <c r="P61" s="16" t="str">
        <f aca="false">IF(B61="","",IF(OR(AND(K61&lt;&gt;"",K61&gt;=設定!$B$7),AND(L61&lt;&gt;"",L61&gt;=設定!$B$8),AND(O61&lt;&gt;"",O61&gt;=設定!$B$9)),"○","×"))</f>
        <v/>
      </c>
      <c r="Q61" s="19"/>
      <c r="R61" s="21" t="str">
        <f aca="false">IF(B61="","",D61&amp;"-"&amp;N(K61))</f>
        <v/>
      </c>
    </row>
    <row r="62" customFormat="false" ht="15" hidden="false" customHeight="false" outlineLevel="0" collapsed="false">
      <c r="A62" s="16" t="n">
        <v>57</v>
      </c>
      <c r="B62" s="17"/>
      <c r="C62" s="16" t="str">
        <f aca="false">IF(B62="","",CHOOSE(WEEKDAY(B62),"日","月","火","水","木","金","土"))</f>
        <v/>
      </c>
      <c r="D62" s="16" t="str">
        <f aca="false">IF(B62="","",INT((B62-設定!$B$6)/7)+1)</f>
        <v/>
      </c>
      <c r="E62" s="18"/>
      <c r="F62" s="18"/>
      <c r="G62" s="19"/>
      <c r="H62" s="19"/>
      <c r="I62" s="18"/>
      <c r="J62" s="18"/>
      <c r="K62" s="18"/>
      <c r="L62" s="18"/>
      <c r="M62" s="18"/>
      <c r="N62" s="18"/>
      <c r="O62" s="20" t="str">
        <f aca="false">IF(OR(I62="",I62=0,K62=""),"",K62/I62)</f>
        <v/>
      </c>
      <c r="P62" s="16" t="str">
        <f aca="false">IF(B62="","",IF(OR(AND(K62&lt;&gt;"",K62&gt;=設定!$B$7),AND(L62&lt;&gt;"",L62&gt;=設定!$B$8),AND(O62&lt;&gt;"",O62&gt;=設定!$B$9)),"○","×"))</f>
        <v/>
      </c>
      <c r="Q62" s="19"/>
      <c r="R62" s="21" t="str">
        <f aca="false">IF(B62="","",D62&amp;"-"&amp;N(K62))</f>
        <v/>
      </c>
    </row>
    <row r="63" customFormat="false" ht="15" hidden="false" customHeight="false" outlineLevel="0" collapsed="false">
      <c r="A63" s="16" t="n">
        <v>58</v>
      </c>
      <c r="B63" s="17"/>
      <c r="C63" s="16" t="str">
        <f aca="false">IF(B63="","",CHOOSE(WEEKDAY(B63),"日","月","火","水","木","金","土"))</f>
        <v/>
      </c>
      <c r="D63" s="16" t="str">
        <f aca="false">IF(B63="","",INT((B63-設定!$B$6)/7)+1)</f>
        <v/>
      </c>
      <c r="E63" s="18"/>
      <c r="F63" s="18"/>
      <c r="G63" s="19"/>
      <c r="H63" s="19"/>
      <c r="I63" s="18"/>
      <c r="J63" s="18"/>
      <c r="K63" s="18"/>
      <c r="L63" s="18"/>
      <c r="M63" s="18"/>
      <c r="N63" s="18"/>
      <c r="O63" s="20" t="str">
        <f aca="false">IF(OR(I63="",I63=0,K63=""),"",K63/I63)</f>
        <v/>
      </c>
      <c r="P63" s="16" t="str">
        <f aca="false">IF(B63="","",IF(OR(AND(K63&lt;&gt;"",K63&gt;=設定!$B$7),AND(L63&lt;&gt;"",L63&gt;=設定!$B$8),AND(O63&lt;&gt;"",O63&gt;=設定!$B$9)),"○","×"))</f>
        <v/>
      </c>
      <c r="Q63" s="19"/>
      <c r="R63" s="21" t="str">
        <f aca="false">IF(B63="","",D63&amp;"-"&amp;N(K63))</f>
        <v/>
      </c>
    </row>
    <row r="64" customFormat="false" ht="15" hidden="false" customHeight="false" outlineLevel="0" collapsed="false">
      <c r="A64" s="16" t="n">
        <v>59</v>
      </c>
      <c r="B64" s="17"/>
      <c r="C64" s="16" t="str">
        <f aca="false">IF(B64="","",CHOOSE(WEEKDAY(B64),"日","月","火","水","木","金","土"))</f>
        <v/>
      </c>
      <c r="D64" s="16" t="str">
        <f aca="false">IF(B64="","",INT((B64-設定!$B$6)/7)+1)</f>
        <v/>
      </c>
      <c r="E64" s="18"/>
      <c r="F64" s="18"/>
      <c r="G64" s="19"/>
      <c r="H64" s="19"/>
      <c r="I64" s="18"/>
      <c r="J64" s="18"/>
      <c r="K64" s="18"/>
      <c r="L64" s="18"/>
      <c r="M64" s="18"/>
      <c r="N64" s="18"/>
      <c r="O64" s="20" t="str">
        <f aca="false">IF(OR(I64="",I64=0,K64=""),"",K64/I64)</f>
        <v/>
      </c>
      <c r="P64" s="16" t="str">
        <f aca="false">IF(B64="","",IF(OR(AND(K64&lt;&gt;"",K64&gt;=設定!$B$7),AND(L64&lt;&gt;"",L64&gt;=設定!$B$8),AND(O64&lt;&gt;"",O64&gt;=設定!$B$9)),"○","×"))</f>
        <v/>
      </c>
      <c r="Q64" s="19"/>
      <c r="R64" s="21" t="str">
        <f aca="false">IF(B64="","",D64&amp;"-"&amp;N(K64))</f>
        <v/>
      </c>
    </row>
    <row r="65" customFormat="false" ht="15" hidden="false" customHeight="false" outlineLevel="0" collapsed="false">
      <c r="A65" s="16" t="n">
        <v>60</v>
      </c>
      <c r="B65" s="17"/>
      <c r="C65" s="16" t="str">
        <f aca="false">IF(B65="","",CHOOSE(WEEKDAY(B65),"日","月","火","水","木","金","土"))</f>
        <v/>
      </c>
      <c r="D65" s="16" t="str">
        <f aca="false">IF(B65="","",INT((B65-設定!$B$6)/7)+1)</f>
        <v/>
      </c>
      <c r="E65" s="18"/>
      <c r="F65" s="18"/>
      <c r="G65" s="19"/>
      <c r="H65" s="19"/>
      <c r="I65" s="18"/>
      <c r="J65" s="18"/>
      <c r="K65" s="18"/>
      <c r="L65" s="18"/>
      <c r="M65" s="18"/>
      <c r="N65" s="18"/>
      <c r="O65" s="20" t="str">
        <f aca="false">IF(OR(I65="",I65=0,K65=""),"",K65/I65)</f>
        <v/>
      </c>
      <c r="P65" s="16" t="str">
        <f aca="false">IF(B65="","",IF(OR(AND(K65&lt;&gt;"",K65&gt;=設定!$B$7),AND(L65&lt;&gt;"",L65&gt;=設定!$B$8),AND(O65&lt;&gt;"",O65&gt;=設定!$B$9)),"○","×"))</f>
        <v/>
      </c>
      <c r="Q65" s="19"/>
      <c r="R65" s="21" t="str">
        <f aca="false">IF(B65="","",D65&amp;"-"&amp;N(K65))</f>
        <v/>
      </c>
    </row>
    <row r="66" customFormat="false" ht="15" hidden="false" customHeight="false" outlineLevel="0" collapsed="false">
      <c r="A66" s="16" t="n">
        <v>61</v>
      </c>
      <c r="B66" s="17"/>
      <c r="C66" s="16" t="str">
        <f aca="false">IF(B66="","",CHOOSE(WEEKDAY(B66),"日","月","火","水","木","金","土"))</f>
        <v/>
      </c>
      <c r="D66" s="16" t="str">
        <f aca="false">IF(B66="","",INT((B66-設定!$B$6)/7)+1)</f>
        <v/>
      </c>
      <c r="E66" s="18"/>
      <c r="F66" s="18"/>
      <c r="G66" s="19"/>
      <c r="H66" s="19"/>
      <c r="I66" s="18"/>
      <c r="J66" s="18"/>
      <c r="K66" s="18"/>
      <c r="L66" s="18"/>
      <c r="M66" s="18"/>
      <c r="N66" s="18"/>
      <c r="O66" s="20" t="str">
        <f aca="false">IF(OR(I66="",I66=0,K66=""),"",K66/I66)</f>
        <v/>
      </c>
      <c r="P66" s="16" t="str">
        <f aca="false">IF(B66="","",IF(OR(AND(K66&lt;&gt;"",K66&gt;=設定!$B$7),AND(L66&lt;&gt;"",L66&gt;=設定!$B$8),AND(O66&lt;&gt;"",O66&gt;=設定!$B$9)),"○","×"))</f>
        <v/>
      </c>
      <c r="Q66" s="19"/>
      <c r="R66" s="21" t="str">
        <f aca="false">IF(B66="","",D66&amp;"-"&amp;N(K66))</f>
        <v/>
      </c>
    </row>
    <row r="67" customFormat="false" ht="15" hidden="false" customHeight="false" outlineLevel="0" collapsed="false">
      <c r="A67" s="16" t="n">
        <v>62</v>
      </c>
      <c r="B67" s="17"/>
      <c r="C67" s="16" t="str">
        <f aca="false">IF(B67="","",CHOOSE(WEEKDAY(B67),"日","月","火","水","木","金","土"))</f>
        <v/>
      </c>
      <c r="D67" s="16" t="str">
        <f aca="false">IF(B67="","",INT((B67-設定!$B$6)/7)+1)</f>
        <v/>
      </c>
      <c r="E67" s="18"/>
      <c r="F67" s="18"/>
      <c r="G67" s="19"/>
      <c r="H67" s="19"/>
      <c r="I67" s="18"/>
      <c r="J67" s="18"/>
      <c r="K67" s="18"/>
      <c r="L67" s="18"/>
      <c r="M67" s="18"/>
      <c r="N67" s="18"/>
      <c r="O67" s="20" t="str">
        <f aca="false">IF(OR(I67="",I67=0,K67=""),"",K67/I67)</f>
        <v/>
      </c>
      <c r="P67" s="16" t="str">
        <f aca="false">IF(B67="","",IF(OR(AND(K67&lt;&gt;"",K67&gt;=設定!$B$7),AND(L67&lt;&gt;"",L67&gt;=設定!$B$8),AND(O67&lt;&gt;"",O67&gt;=設定!$B$9)),"○","×"))</f>
        <v/>
      </c>
      <c r="Q67" s="19"/>
      <c r="R67" s="21" t="str">
        <f aca="false">IF(B67="","",D67&amp;"-"&amp;N(K67))</f>
        <v/>
      </c>
    </row>
    <row r="68" customFormat="false" ht="15" hidden="false" customHeight="false" outlineLevel="0" collapsed="false">
      <c r="A68" s="16" t="n">
        <v>63</v>
      </c>
      <c r="B68" s="17"/>
      <c r="C68" s="16" t="str">
        <f aca="false">IF(B68="","",CHOOSE(WEEKDAY(B68),"日","月","火","水","木","金","土"))</f>
        <v/>
      </c>
      <c r="D68" s="16" t="str">
        <f aca="false">IF(B68="","",INT((B68-設定!$B$6)/7)+1)</f>
        <v/>
      </c>
      <c r="E68" s="18"/>
      <c r="F68" s="18"/>
      <c r="G68" s="19"/>
      <c r="H68" s="19"/>
      <c r="I68" s="18"/>
      <c r="J68" s="18"/>
      <c r="K68" s="18"/>
      <c r="L68" s="18"/>
      <c r="M68" s="18"/>
      <c r="N68" s="18"/>
      <c r="O68" s="20" t="str">
        <f aca="false">IF(OR(I68="",I68=0,K68=""),"",K68/I68)</f>
        <v/>
      </c>
      <c r="P68" s="16" t="str">
        <f aca="false">IF(B68="","",IF(OR(AND(K68&lt;&gt;"",K68&gt;=設定!$B$7),AND(L68&lt;&gt;"",L68&gt;=設定!$B$8),AND(O68&lt;&gt;"",O68&gt;=設定!$B$9)),"○","×"))</f>
        <v/>
      </c>
      <c r="Q68" s="19"/>
      <c r="R68" s="21" t="str">
        <f aca="false">IF(B68="","",D68&amp;"-"&amp;N(K68))</f>
        <v/>
      </c>
    </row>
    <row r="69" customFormat="false" ht="15" hidden="false" customHeight="false" outlineLevel="0" collapsed="false">
      <c r="A69" s="16" t="n">
        <v>64</v>
      </c>
      <c r="B69" s="17"/>
      <c r="C69" s="16" t="str">
        <f aca="false">IF(B69="","",CHOOSE(WEEKDAY(B69),"日","月","火","水","木","金","土"))</f>
        <v/>
      </c>
      <c r="D69" s="16" t="str">
        <f aca="false">IF(B69="","",INT((B69-設定!$B$6)/7)+1)</f>
        <v/>
      </c>
      <c r="E69" s="18"/>
      <c r="F69" s="18"/>
      <c r="G69" s="19"/>
      <c r="H69" s="19"/>
      <c r="I69" s="18"/>
      <c r="J69" s="18"/>
      <c r="K69" s="18"/>
      <c r="L69" s="18"/>
      <c r="M69" s="18"/>
      <c r="N69" s="18"/>
      <c r="O69" s="20" t="str">
        <f aca="false">IF(OR(I69="",I69=0,K69=""),"",K69/I69)</f>
        <v/>
      </c>
      <c r="P69" s="16" t="str">
        <f aca="false">IF(B69="","",IF(OR(AND(K69&lt;&gt;"",K69&gt;=設定!$B$7),AND(L69&lt;&gt;"",L69&gt;=設定!$B$8),AND(O69&lt;&gt;"",O69&gt;=設定!$B$9)),"○","×"))</f>
        <v/>
      </c>
      <c r="Q69" s="19"/>
      <c r="R69" s="21" t="str">
        <f aca="false">IF(B69="","",D69&amp;"-"&amp;N(K69))</f>
        <v/>
      </c>
    </row>
    <row r="70" customFormat="false" ht="15" hidden="false" customHeight="false" outlineLevel="0" collapsed="false">
      <c r="A70" s="16" t="n">
        <v>65</v>
      </c>
      <c r="B70" s="17"/>
      <c r="C70" s="16" t="str">
        <f aca="false">IF(B70="","",CHOOSE(WEEKDAY(B70),"日","月","火","水","木","金","土"))</f>
        <v/>
      </c>
      <c r="D70" s="16" t="str">
        <f aca="false">IF(B70="","",INT((B70-設定!$B$6)/7)+1)</f>
        <v/>
      </c>
      <c r="E70" s="18"/>
      <c r="F70" s="18"/>
      <c r="G70" s="19"/>
      <c r="H70" s="19"/>
      <c r="I70" s="18"/>
      <c r="J70" s="18"/>
      <c r="K70" s="18"/>
      <c r="L70" s="18"/>
      <c r="M70" s="18"/>
      <c r="N70" s="18"/>
      <c r="O70" s="20" t="str">
        <f aca="false">IF(OR(I70="",I70=0,K70=""),"",K70/I70)</f>
        <v/>
      </c>
      <c r="P70" s="16" t="str">
        <f aca="false">IF(B70="","",IF(OR(AND(K70&lt;&gt;"",K70&gt;=設定!$B$7),AND(L70&lt;&gt;"",L70&gt;=設定!$B$8),AND(O70&lt;&gt;"",O70&gt;=設定!$B$9)),"○","×"))</f>
        <v/>
      </c>
      <c r="Q70" s="19"/>
      <c r="R70" s="21" t="str">
        <f aca="false">IF(B70="","",D70&amp;"-"&amp;N(K70))</f>
        <v/>
      </c>
    </row>
    <row r="71" customFormat="false" ht="15" hidden="false" customHeight="false" outlineLevel="0" collapsed="false">
      <c r="A71" s="16" t="n">
        <v>66</v>
      </c>
      <c r="B71" s="17"/>
      <c r="C71" s="16" t="str">
        <f aca="false">IF(B71="","",CHOOSE(WEEKDAY(B71),"日","月","火","水","木","金","土"))</f>
        <v/>
      </c>
      <c r="D71" s="16" t="str">
        <f aca="false">IF(B71="","",INT((B71-設定!$B$6)/7)+1)</f>
        <v/>
      </c>
      <c r="E71" s="18"/>
      <c r="F71" s="18"/>
      <c r="G71" s="19"/>
      <c r="H71" s="19"/>
      <c r="I71" s="18"/>
      <c r="J71" s="18"/>
      <c r="K71" s="18"/>
      <c r="L71" s="18"/>
      <c r="M71" s="18"/>
      <c r="N71" s="18"/>
      <c r="O71" s="20" t="str">
        <f aca="false">IF(OR(I71="",I71=0,K71=""),"",K71/I71)</f>
        <v/>
      </c>
      <c r="P71" s="16" t="str">
        <f aca="false">IF(B71="","",IF(OR(AND(K71&lt;&gt;"",K71&gt;=設定!$B$7),AND(L71&lt;&gt;"",L71&gt;=設定!$B$8),AND(O71&lt;&gt;"",O71&gt;=設定!$B$9)),"○","×"))</f>
        <v/>
      </c>
      <c r="Q71" s="19"/>
      <c r="R71" s="21" t="str">
        <f aca="false">IF(B71="","",D71&amp;"-"&amp;N(K71))</f>
        <v/>
      </c>
    </row>
    <row r="72" customFormat="false" ht="15" hidden="false" customHeight="false" outlineLevel="0" collapsed="false">
      <c r="A72" s="16" t="n">
        <v>67</v>
      </c>
      <c r="B72" s="17"/>
      <c r="C72" s="16" t="str">
        <f aca="false">IF(B72="","",CHOOSE(WEEKDAY(B72),"日","月","火","水","木","金","土"))</f>
        <v/>
      </c>
      <c r="D72" s="16" t="str">
        <f aca="false">IF(B72="","",INT((B72-設定!$B$6)/7)+1)</f>
        <v/>
      </c>
      <c r="E72" s="18"/>
      <c r="F72" s="18"/>
      <c r="G72" s="19"/>
      <c r="H72" s="19"/>
      <c r="I72" s="18"/>
      <c r="J72" s="18"/>
      <c r="K72" s="18"/>
      <c r="L72" s="18"/>
      <c r="M72" s="18"/>
      <c r="N72" s="18"/>
      <c r="O72" s="20" t="str">
        <f aca="false">IF(OR(I72="",I72=0,K72=""),"",K72/I72)</f>
        <v/>
      </c>
      <c r="P72" s="16" t="str">
        <f aca="false">IF(B72="","",IF(OR(AND(K72&lt;&gt;"",K72&gt;=設定!$B$7),AND(L72&lt;&gt;"",L72&gt;=設定!$B$8),AND(O72&lt;&gt;"",O72&gt;=設定!$B$9)),"○","×"))</f>
        <v/>
      </c>
      <c r="Q72" s="19"/>
      <c r="R72" s="21" t="str">
        <f aca="false">IF(B72="","",D72&amp;"-"&amp;N(K72))</f>
        <v/>
      </c>
    </row>
    <row r="73" customFormat="false" ht="15" hidden="false" customHeight="false" outlineLevel="0" collapsed="false">
      <c r="A73" s="16" t="n">
        <v>68</v>
      </c>
      <c r="B73" s="17"/>
      <c r="C73" s="16" t="str">
        <f aca="false">IF(B73="","",CHOOSE(WEEKDAY(B73),"日","月","火","水","木","金","土"))</f>
        <v/>
      </c>
      <c r="D73" s="16" t="str">
        <f aca="false">IF(B73="","",INT((B73-設定!$B$6)/7)+1)</f>
        <v/>
      </c>
      <c r="E73" s="18"/>
      <c r="F73" s="18"/>
      <c r="G73" s="19"/>
      <c r="H73" s="19"/>
      <c r="I73" s="18"/>
      <c r="J73" s="18"/>
      <c r="K73" s="18"/>
      <c r="L73" s="18"/>
      <c r="M73" s="18"/>
      <c r="N73" s="18"/>
      <c r="O73" s="20" t="str">
        <f aca="false">IF(OR(I73="",I73=0,K73=""),"",K73/I73)</f>
        <v/>
      </c>
      <c r="P73" s="16" t="str">
        <f aca="false">IF(B73="","",IF(OR(AND(K73&lt;&gt;"",K73&gt;=設定!$B$7),AND(L73&lt;&gt;"",L73&gt;=設定!$B$8),AND(O73&lt;&gt;"",O73&gt;=設定!$B$9)),"○","×"))</f>
        <v/>
      </c>
      <c r="Q73" s="19"/>
      <c r="R73" s="21" t="str">
        <f aca="false">IF(B73="","",D73&amp;"-"&amp;N(K73))</f>
        <v/>
      </c>
    </row>
    <row r="74" customFormat="false" ht="15" hidden="false" customHeight="false" outlineLevel="0" collapsed="false">
      <c r="A74" s="16" t="n">
        <v>69</v>
      </c>
      <c r="B74" s="17"/>
      <c r="C74" s="16" t="str">
        <f aca="false">IF(B74="","",CHOOSE(WEEKDAY(B74),"日","月","火","水","木","金","土"))</f>
        <v/>
      </c>
      <c r="D74" s="16" t="str">
        <f aca="false">IF(B74="","",INT((B74-設定!$B$6)/7)+1)</f>
        <v/>
      </c>
      <c r="E74" s="18"/>
      <c r="F74" s="18"/>
      <c r="G74" s="19"/>
      <c r="H74" s="19"/>
      <c r="I74" s="18"/>
      <c r="J74" s="18"/>
      <c r="K74" s="18"/>
      <c r="L74" s="18"/>
      <c r="M74" s="18"/>
      <c r="N74" s="18"/>
      <c r="O74" s="20" t="str">
        <f aca="false">IF(OR(I74="",I74=0,K74=""),"",K74/I74)</f>
        <v/>
      </c>
      <c r="P74" s="16" t="str">
        <f aca="false">IF(B74="","",IF(OR(AND(K74&lt;&gt;"",K74&gt;=設定!$B$7),AND(L74&lt;&gt;"",L74&gt;=設定!$B$8),AND(O74&lt;&gt;"",O74&gt;=設定!$B$9)),"○","×"))</f>
        <v/>
      </c>
      <c r="Q74" s="19"/>
      <c r="R74" s="21" t="str">
        <f aca="false">IF(B74="","",D74&amp;"-"&amp;N(K74))</f>
        <v/>
      </c>
    </row>
    <row r="75" customFormat="false" ht="15" hidden="false" customHeight="false" outlineLevel="0" collapsed="false">
      <c r="A75" s="16" t="n">
        <v>70</v>
      </c>
      <c r="B75" s="17"/>
      <c r="C75" s="16" t="str">
        <f aca="false">IF(B75="","",CHOOSE(WEEKDAY(B75),"日","月","火","水","木","金","土"))</f>
        <v/>
      </c>
      <c r="D75" s="16" t="str">
        <f aca="false">IF(B75="","",INT((B75-設定!$B$6)/7)+1)</f>
        <v/>
      </c>
      <c r="E75" s="18"/>
      <c r="F75" s="18"/>
      <c r="G75" s="19"/>
      <c r="H75" s="19"/>
      <c r="I75" s="18"/>
      <c r="J75" s="18"/>
      <c r="K75" s="18"/>
      <c r="L75" s="18"/>
      <c r="M75" s="18"/>
      <c r="N75" s="18"/>
      <c r="O75" s="20" t="str">
        <f aca="false">IF(OR(I75="",I75=0,K75=""),"",K75/I75)</f>
        <v/>
      </c>
      <c r="P75" s="16" t="str">
        <f aca="false">IF(B75="","",IF(OR(AND(K75&lt;&gt;"",K75&gt;=設定!$B$7),AND(L75&lt;&gt;"",L75&gt;=設定!$B$8),AND(O75&lt;&gt;"",O75&gt;=設定!$B$9)),"○","×"))</f>
        <v/>
      </c>
      <c r="Q75" s="19"/>
      <c r="R75" s="21" t="str">
        <f aca="false">IF(B75="","",D75&amp;"-"&amp;N(K75))</f>
        <v/>
      </c>
    </row>
    <row r="76" customFormat="false" ht="15" hidden="false" customHeight="false" outlineLevel="0" collapsed="false">
      <c r="A76" s="16" t="n">
        <v>71</v>
      </c>
      <c r="B76" s="17"/>
      <c r="C76" s="16" t="str">
        <f aca="false">IF(B76="","",CHOOSE(WEEKDAY(B76),"日","月","火","水","木","金","土"))</f>
        <v/>
      </c>
      <c r="D76" s="16" t="str">
        <f aca="false">IF(B76="","",INT((B76-設定!$B$6)/7)+1)</f>
        <v/>
      </c>
      <c r="E76" s="18"/>
      <c r="F76" s="18"/>
      <c r="G76" s="19"/>
      <c r="H76" s="19"/>
      <c r="I76" s="18"/>
      <c r="J76" s="18"/>
      <c r="K76" s="18"/>
      <c r="L76" s="18"/>
      <c r="M76" s="18"/>
      <c r="N76" s="18"/>
      <c r="O76" s="20" t="str">
        <f aca="false">IF(OR(I76="",I76=0,K76=""),"",K76/I76)</f>
        <v/>
      </c>
      <c r="P76" s="16" t="str">
        <f aca="false">IF(B76="","",IF(OR(AND(K76&lt;&gt;"",K76&gt;=設定!$B$7),AND(L76&lt;&gt;"",L76&gt;=設定!$B$8),AND(O76&lt;&gt;"",O76&gt;=設定!$B$9)),"○","×"))</f>
        <v/>
      </c>
      <c r="Q76" s="19"/>
      <c r="R76" s="21" t="str">
        <f aca="false">IF(B76="","",D76&amp;"-"&amp;N(K76))</f>
        <v/>
      </c>
    </row>
    <row r="77" customFormat="false" ht="15" hidden="false" customHeight="false" outlineLevel="0" collapsed="false">
      <c r="A77" s="16" t="n">
        <v>72</v>
      </c>
      <c r="B77" s="17"/>
      <c r="C77" s="16" t="str">
        <f aca="false">IF(B77="","",CHOOSE(WEEKDAY(B77),"日","月","火","水","木","金","土"))</f>
        <v/>
      </c>
      <c r="D77" s="16" t="str">
        <f aca="false">IF(B77="","",INT((B77-設定!$B$6)/7)+1)</f>
        <v/>
      </c>
      <c r="E77" s="18"/>
      <c r="F77" s="18"/>
      <c r="G77" s="19"/>
      <c r="H77" s="19"/>
      <c r="I77" s="18"/>
      <c r="J77" s="18"/>
      <c r="K77" s="18"/>
      <c r="L77" s="18"/>
      <c r="M77" s="18"/>
      <c r="N77" s="18"/>
      <c r="O77" s="20" t="str">
        <f aca="false">IF(OR(I77="",I77=0,K77=""),"",K77/I77)</f>
        <v/>
      </c>
      <c r="P77" s="16" t="str">
        <f aca="false">IF(B77="","",IF(OR(AND(K77&lt;&gt;"",K77&gt;=設定!$B$7),AND(L77&lt;&gt;"",L77&gt;=設定!$B$8),AND(O77&lt;&gt;"",O77&gt;=設定!$B$9)),"○","×"))</f>
        <v/>
      </c>
      <c r="Q77" s="19"/>
      <c r="R77" s="21" t="str">
        <f aca="false">IF(B77="","",D77&amp;"-"&amp;N(K77))</f>
        <v/>
      </c>
    </row>
    <row r="78" customFormat="false" ht="15" hidden="false" customHeight="false" outlineLevel="0" collapsed="false">
      <c r="A78" s="16" t="n">
        <v>73</v>
      </c>
      <c r="B78" s="17"/>
      <c r="C78" s="16" t="str">
        <f aca="false">IF(B78="","",CHOOSE(WEEKDAY(B78),"日","月","火","水","木","金","土"))</f>
        <v/>
      </c>
      <c r="D78" s="16" t="str">
        <f aca="false">IF(B78="","",INT((B78-設定!$B$6)/7)+1)</f>
        <v/>
      </c>
      <c r="E78" s="18"/>
      <c r="F78" s="18"/>
      <c r="G78" s="19"/>
      <c r="H78" s="19"/>
      <c r="I78" s="18"/>
      <c r="J78" s="18"/>
      <c r="K78" s="18"/>
      <c r="L78" s="18"/>
      <c r="M78" s="18"/>
      <c r="N78" s="18"/>
      <c r="O78" s="20" t="str">
        <f aca="false">IF(OR(I78="",I78=0,K78=""),"",K78/I78)</f>
        <v/>
      </c>
      <c r="P78" s="16" t="str">
        <f aca="false">IF(B78="","",IF(OR(AND(K78&lt;&gt;"",K78&gt;=設定!$B$7),AND(L78&lt;&gt;"",L78&gt;=設定!$B$8),AND(O78&lt;&gt;"",O78&gt;=設定!$B$9)),"○","×"))</f>
        <v/>
      </c>
      <c r="Q78" s="19"/>
      <c r="R78" s="21" t="str">
        <f aca="false">IF(B78="","",D78&amp;"-"&amp;N(K78))</f>
        <v/>
      </c>
    </row>
    <row r="79" customFormat="false" ht="15" hidden="false" customHeight="false" outlineLevel="0" collapsed="false">
      <c r="A79" s="16" t="n">
        <v>74</v>
      </c>
      <c r="B79" s="17"/>
      <c r="C79" s="16" t="str">
        <f aca="false">IF(B79="","",CHOOSE(WEEKDAY(B79),"日","月","火","水","木","金","土"))</f>
        <v/>
      </c>
      <c r="D79" s="16" t="str">
        <f aca="false">IF(B79="","",INT((B79-設定!$B$6)/7)+1)</f>
        <v/>
      </c>
      <c r="E79" s="18"/>
      <c r="F79" s="18"/>
      <c r="G79" s="19"/>
      <c r="H79" s="19"/>
      <c r="I79" s="18"/>
      <c r="J79" s="18"/>
      <c r="K79" s="18"/>
      <c r="L79" s="18"/>
      <c r="M79" s="18"/>
      <c r="N79" s="18"/>
      <c r="O79" s="20" t="str">
        <f aca="false">IF(OR(I79="",I79=0,K79=""),"",K79/I79)</f>
        <v/>
      </c>
      <c r="P79" s="16" t="str">
        <f aca="false">IF(B79="","",IF(OR(AND(K79&lt;&gt;"",K79&gt;=設定!$B$7),AND(L79&lt;&gt;"",L79&gt;=設定!$B$8),AND(O79&lt;&gt;"",O79&gt;=設定!$B$9)),"○","×"))</f>
        <v/>
      </c>
      <c r="Q79" s="19"/>
      <c r="R79" s="21" t="str">
        <f aca="false">IF(B79="","",D79&amp;"-"&amp;N(K79))</f>
        <v/>
      </c>
    </row>
    <row r="80" customFormat="false" ht="15" hidden="false" customHeight="false" outlineLevel="0" collapsed="false">
      <c r="A80" s="16" t="n">
        <v>75</v>
      </c>
      <c r="B80" s="17"/>
      <c r="C80" s="16" t="str">
        <f aca="false">IF(B80="","",CHOOSE(WEEKDAY(B80),"日","月","火","水","木","金","土"))</f>
        <v/>
      </c>
      <c r="D80" s="16" t="str">
        <f aca="false">IF(B80="","",INT((B80-設定!$B$6)/7)+1)</f>
        <v/>
      </c>
      <c r="E80" s="18"/>
      <c r="F80" s="18"/>
      <c r="G80" s="19"/>
      <c r="H80" s="19"/>
      <c r="I80" s="18"/>
      <c r="J80" s="18"/>
      <c r="K80" s="18"/>
      <c r="L80" s="18"/>
      <c r="M80" s="18"/>
      <c r="N80" s="18"/>
      <c r="O80" s="20" t="str">
        <f aca="false">IF(OR(I80="",I80=0,K80=""),"",K80/I80)</f>
        <v/>
      </c>
      <c r="P80" s="16" t="str">
        <f aca="false">IF(B80="","",IF(OR(AND(K80&lt;&gt;"",K80&gt;=設定!$B$7),AND(L80&lt;&gt;"",L80&gt;=設定!$B$8),AND(O80&lt;&gt;"",O80&gt;=設定!$B$9)),"○","×"))</f>
        <v/>
      </c>
      <c r="Q80" s="19"/>
      <c r="R80" s="21" t="str">
        <f aca="false">IF(B80="","",D80&amp;"-"&amp;N(K80))</f>
        <v/>
      </c>
    </row>
    <row r="81" customFormat="false" ht="15" hidden="false" customHeight="false" outlineLevel="0" collapsed="false">
      <c r="A81" s="16" t="n">
        <v>76</v>
      </c>
      <c r="B81" s="17"/>
      <c r="C81" s="16" t="str">
        <f aca="false">IF(B81="","",CHOOSE(WEEKDAY(B81),"日","月","火","水","木","金","土"))</f>
        <v/>
      </c>
      <c r="D81" s="16" t="str">
        <f aca="false">IF(B81="","",INT((B81-設定!$B$6)/7)+1)</f>
        <v/>
      </c>
      <c r="E81" s="18"/>
      <c r="F81" s="18"/>
      <c r="G81" s="19"/>
      <c r="H81" s="19"/>
      <c r="I81" s="18"/>
      <c r="J81" s="18"/>
      <c r="K81" s="18"/>
      <c r="L81" s="18"/>
      <c r="M81" s="18"/>
      <c r="N81" s="18"/>
      <c r="O81" s="20" t="str">
        <f aca="false">IF(OR(I81="",I81=0,K81=""),"",K81/I81)</f>
        <v/>
      </c>
      <c r="P81" s="16" t="str">
        <f aca="false">IF(B81="","",IF(OR(AND(K81&lt;&gt;"",K81&gt;=設定!$B$7),AND(L81&lt;&gt;"",L81&gt;=設定!$B$8),AND(O81&lt;&gt;"",O81&gt;=設定!$B$9)),"○","×"))</f>
        <v/>
      </c>
      <c r="Q81" s="19"/>
      <c r="R81" s="21" t="str">
        <f aca="false">IF(B81="","",D81&amp;"-"&amp;N(K81))</f>
        <v/>
      </c>
    </row>
    <row r="82" customFormat="false" ht="15" hidden="false" customHeight="false" outlineLevel="0" collapsed="false">
      <c r="A82" s="16" t="n">
        <v>77</v>
      </c>
      <c r="B82" s="17"/>
      <c r="C82" s="16" t="str">
        <f aca="false">IF(B82="","",CHOOSE(WEEKDAY(B82),"日","月","火","水","木","金","土"))</f>
        <v/>
      </c>
      <c r="D82" s="16" t="str">
        <f aca="false">IF(B82="","",INT((B82-設定!$B$6)/7)+1)</f>
        <v/>
      </c>
      <c r="E82" s="18"/>
      <c r="F82" s="18"/>
      <c r="G82" s="19"/>
      <c r="H82" s="19"/>
      <c r="I82" s="18"/>
      <c r="J82" s="18"/>
      <c r="K82" s="18"/>
      <c r="L82" s="18"/>
      <c r="M82" s="18"/>
      <c r="N82" s="18"/>
      <c r="O82" s="20" t="str">
        <f aca="false">IF(OR(I82="",I82=0,K82=""),"",K82/I82)</f>
        <v/>
      </c>
      <c r="P82" s="16" t="str">
        <f aca="false">IF(B82="","",IF(OR(AND(K82&lt;&gt;"",K82&gt;=設定!$B$7),AND(L82&lt;&gt;"",L82&gt;=設定!$B$8),AND(O82&lt;&gt;"",O82&gt;=設定!$B$9)),"○","×"))</f>
        <v/>
      </c>
      <c r="Q82" s="19"/>
      <c r="R82" s="21" t="str">
        <f aca="false">IF(B82="","",D82&amp;"-"&amp;N(K82))</f>
        <v/>
      </c>
    </row>
    <row r="83" customFormat="false" ht="15" hidden="false" customHeight="false" outlineLevel="0" collapsed="false">
      <c r="A83" s="16" t="n">
        <v>78</v>
      </c>
      <c r="B83" s="17"/>
      <c r="C83" s="16" t="str">
        <f aca="false">IF(B83="","",CHOOSE(WEEKDAY(B83),"日","月","火","水","木","金","土"))</f>
        <v/>
      </c>
      <c r="D83" s="16" t="str">
        <f aca="false">IF(B83="","",INT((B83-設定!$B$6)/7)+1)</f>
        <v/>
      </c>
      <c r="E83" s="18"/>
      <c r="F83" s="18"/>
      <c r="G83" s="19"/>
      <c r="H83" s="19"/>
      <c r="I83" s="18"/>
      <c r="J83" s="18"/>
      <c r="K83" s="18"/>
      <c r="L83" s="18"/>
      <c r="M83" s="18"/>
      <c r="N83" s="18"/>
      <c r="O83" s="20" t="str">
        <f aca="false">IF(OR(I83="",I83=0,K83=""),"",K83/I83)</f>
        <v/>
      </c>
      <c r="P83" s="16" t="str">
        <f aca="false">IF(B83="","",IF(OR(AND(K83&lt;&gt;"",K83&gt;=設定!$B$7),AND(L83&lt;&gt;"",L83&gt;=設定!$B$8),AND(O83&lt;&gt;"",O83&gt;=設定!$B$9)),"○","×"))</f>
        <v/>
      </c>
      <c r="Q83" s="19"/>
      <c r="R83" s="21" t="str">
        <f aca="false">IF(B83="","",D83&amp;"-"&amp;N(K83))</f>
        <v/>
      </c>
    </row>
    <row r="84" customFormat="false" ht="15" hidden="false" customHeight="false" outlineLevel="0" collapsed="false">
      <c r="A84" s="16" t="n">
        <v>79</v>
      </c>
      <c r="B84" s="17"/>
      <c r="C84" s="16" t="str">
        <f aca="false">IF(B84="","",CHOOSE(WEEKDAY(B84),"日","月","火","水","木","金","土"))</f>
        <v/>
      </c>
      <c r="D84" s="16" t="str">
        <f aca="false">IF(B84="","",INT((B84-設定!$B$6)/7)+1)</f>
        <v/>
      </c>
      <c r="E84" s="18"/>
      <c r="F84" s="18"/>
      <c r="G84" s="19"/>
      <c r="H84" s="19"/>
      <c r="I84" s="18"/>
      <c r="J84" s="18"/>
      <c r="K84" s="18"/>
      <c r="L84" s="18"/>
      <c r="M84" s="18"/>
      <c r="N84" s="18"/>
      <c r="O84" s="20" t="str">
        <f aca="false">IF(OR(I84="",I84=0,K84=""),"",K84/I84)</f>
        <v/>
      </c>
      <c r="P84" s="16" t="str">
        <f aca="false">IF(B84="","",IF(OR(AND(K84&lt;&gt;"",K84&gt;=設定!$B$7),AND(L84&lt;&gt;"",L84&gt;=設定!$B$8),AND(O84&lt;&gt;"",O84&gt;=設定!$B$9)),"○","×"))</f>
        <v/>
      </c>
      <c r="Q84" s="19"/>
      <c r="R84" s="21" t="str">
        <f aca="false">IF(B84="","",D84&amp;"-"&amp;N(K84))</f>
        <v/>
      </c>
    </row>
    <row r="85" customFormat="false" ht="15" hidden="false" customHeight="false" outlineLevel="0" collapsed="false">
      <c r="A85" s="16" t="n">
        <v>80</v>
      </c>
      <c r="B85" s="17"/>
      <c r="C85" s="16" t="str">
        <f aca="false">IF(B85="","",CHOOSE(WEEKDAY(B85),"日","月","火","水","木","金","土"))</f>
        <v/>
      </c>
      <c r="D85" s="16" t="str">
        <f aca="false">IF(B85="","",INT((B85-設定!$B$6)/7)+1)</f>
        <v/>
      </c>
      <c r="E85" s="18"/>
      <c r="F85" s="18"/>
      <c r="G85" s="19"/>
      <c r="H85" s="19"/>
      <c r="I85" s="18"/>
      <c r="J85" s="18"/>
      <c r="K85" s="18"/>
      <c r="L85" s="18"/>
      <c r="M85" s="18"/>
      <c r="N85" s="18"/>
      <c r="O85" s="20" t="str">
        <f aca="false">IF(OR(I85="",I85=0,K85=""),"",K85/I85)</f>
        <v/>
      </c>
      <c r="P85" s="16" t="str">
        <f aca="false">IF(B85="","",IF(OR(AND(K85&lt;&gt;"",K85&gt;=設定!$B$7),AND(L85&lt;&gt;"",L85&gt;=設定!$B$8),AND(O85&lt;&gt;"",O85&gt;=設定!$B$9)),"○","×"))</f>
        <v/>
      </c>
      <c r="Q85" s="19"/>
      <c r="R85" s="21" t="str">
        <f aca="false">IF(B85="","",D85&amp;"-"&amp;N(K85))</f>
        <v/>
      </c>
    </row>
    <row r="86" customFormat="false" ht="15" hidden="false" customHeight="false" outlineLevel="0" collapsed="false">
      <c r="A86" s="16" t="n">
        <v>81</v>
      </c>
      <c r="B86" s="17"/>
      <c r="C86" s="16" t="str">
        <f aca="false">IF(B86="","",CHOOSE(WEEKDAY(B86),"日","月","火","水","木","金","土"))</f>
        <v/>
      </c>
      <c r="D86" s="16" t="str">
        <f aca="false">IF(B86="","",INT((B86-設定!$B$6)/7)+1)</f>
        <v/>
      </c>
      <c r="E86" s="18"/>
      <c r="F86" s="18"/>
      <c r="G86" s="19"/>
      <c r="H86" s="19"/>
      <c r="I86" s="18"/>
      <c r="J86" s="18"/>
      <c r="K86" s="18"/>
      <c r="L86" s="18"/>
      <c r="M86" s="18"/>
      <c r="N86" s="18"/>
      <c r="O86" s="20" t="str">
        <f aca="false">IF(OR(I86="",I86=0,K86=""),"",K86/I86)</f>
        <v/>
      </c>
      <c r="P86" s="16" t="str">
        <f aca="false">IF(B86="","",IF(OR(AND(K86&lt;&gt;"",K86&gt;=設定!$B$7),AND(L86&lt;&gt;"",L86&gt;=設定!$B$8),AND(O86&lt;&gt;"",O86&gt;=設定!$B$9)),"○","×"))</f>
        <v/>
      </c>
      <c r="Q86" s="19"/>
      <c r="R86" s="21" t="str">
        <f aca="false">IF(B86="","",D86&amp;"-"&amp;N(K86))</f>
        <v/>
      </c>
    </row>
    <row r="87" customFormat="false" ht="15" hidden="false" customHeight="false" outlineLevel="0" collapsed="false">
      <c r="A87" s="16" t="n">
        <v>82</v>
      </c>
      <c r="B87" s="17"/>
      <c r="C87" s="16" t="str">
        <f aca="false">IF(B87="","",CHOOSE(WEEKDAY(B87),"日","月","火","水","木","金","土"))</f>
        <v/>
      </c>
      <c r="D87" s="16" t="str">
        <f aca="false">IF(B87="","",INT((B87-設定!$B$6)/7)+1)</f>
        <v/>
      </c>
      <c r="E87" s="18"/>
      <c r="F87" s="18"/>
      <c r="G87" s="19"/>
      <c r="H87" s="19"/>
      <c r="I87" s="18"/>
      <c r="J87" s="18"/>
      <c r="K87" s="18"/>
      <c r="L87" s="18"/>
      <c r="M87" s="18"/>
      <c r="N87" s="18"/>
      <c r="O87" s="20" t="str">
        <f aca="false">IF(OR(I87="",I87=0,K87=""),"",K87/I87)</f>
        <v/>
      </c>
      <c r="P87" s="16" t="str">
        <f aca="false">IF(B87="","",IF(OR(AND(K87&lt;&gt;"",K87&gt;=設定!$B$7),AND(L87&lt;&gt;"",L87&gt;=設定!$B$8),AND(O87&lt;&gt;"",O87&gt;=設定!$B$9)),"○","×"))</f>
        <v/>
      </c>
      <c r="Q87" s="19"/>
      <c r="R87" s="21" t="str">
        <f aca="false">IF(B87="","",D87&amp;"-"&amp;N(K87))</f>
        <v/>
      </c>
    </row>
    <row r="88" customFormat="false" ht="15" hidden="false" customHeight="false" outlineLevel="0" collapsed="false">
      <c r="A88" s="16" t="n">
        <v>83</v>
      </c>
      <c r="B88" s="17"/>
      <c r="C88" s="16" t="str">
        <f aca="false">IF(B88="","",CHOOSE(WEEKDAY(B88),"日","月","火","水","木","金","土"))</f>
        <v/>
      </c>
      <c r="D88" s="16" t="str">
        <f aca="false">IF(B88="","",INT((B88-設定!$B$6)/7)+1)</f>
        <v/>
      </c>
      <c r="E88" s="18"/>
      <c r="F88" s="18"/>
      <c r="G88" s="19"/>
      <c r="H88" s="19"/>
      <c r="I88" s="18"/>
      <c r="J88" s="18"/>
      <c r="K88" s="18"/>
      <c r="L88" s="18"/>
      <c r="M88" s="18"/>
      <c r="N88" s="18"/>
      <c r="O88" s="20" t="str">
        <f aca="false">IF(OR(I88="",I88=0,K88=""),"",K88/I88)</f>
        <v/>
      </c>
      <c r="P88" s="16" t="str">
        <f aca="false">IF(B88="","",IF(OR(AND(K88&lt;&gt;"",K88&gt;=設定!$B$7),AND(L88&lt;&gt;"",L88&gt;=設定!$B$8),AND(O88&lt;&gt;"",O88&gt;=設定!$B$9)),"○","×"))</f>
        <v/>
      </c>
      <c r="Q88" s="19"/>
      <c r="R88" s="21" t="str">
        <f aca="false">IF(B88="","",D88&amp;"-"&amp;N(K88))</f>
        <v/>
      </c>
    </row>
    <row r="89" customFormat="false" ht="15" hidden="false" customHeight="false" outlineLevel="0" collapsed="false">
      <c r="A89" s="16" t="n">
        <v>84</v>
      </c>
      <c r="B89" s="17"/>
      <c r="C89" s="16" t="str">
        <f aca="false">IF(B89="","",CHOOSE(WEEKDAY(B89),"日","月","火","水","木","金","土"))</f>
        <v/>
      </c>
      <c r="D89" s="16" t="str">
        <f aca="false">IF(B89="","",INT((B89-設定!$B$6)/7)+1)</f>
        <v/>
      </c>
      <c r="E89" s="18"/>
      <c r="F89" s="18"/>
      <c r="G89" s="19"/>
      <c r="H89" s="19"/>
      <c r="I89" s="18"/>
      <c r="J89" s="18"/>
      <c r="K89" s="18"/>
      <c r="L89" s="18"/>
      <c r="M89" s="18"/>
      <c r="N89" s="18"/>
      <c r="O89" s="20" t="str">
        <f aca="false">IF(OR(I89="",I89=0,K89=""),"",K89/I89)</f>
        <v/>
      </c>
      <c r="P89" s="16" t="str">
        <f aca="false">IF(B89="","",IF(OR(AND(K89&lt;&gt;"",K89&gt;=設定!$B$7),AND(L89&lt;&gt;"",L89&gt;=設定!$B$8),AND(O89&lt;&gt;"",O89&gt;=設定!$B$9)),"○","×"))</f>
        <v/>
      </c>
      <c r="Q89" s="19"/>
      <c r="R89" s="21" t="str">
        <f aca="false">IF(B89="","",D89&amp;"-"&amp;N(K89))</f>
        <v/>
      </c>
    </row>
    <row r="90" customFormat="false" ht="15" hidden="false" customHeight="false" outlineLevel="0" collapsed="false">
      <c r="A90" s="16" t="n">
        <v>85</v>
      </c>
      <c r="B90" s="17"/>
      <c r="C90" s="16" t="str">
        <f aca="false">IF(B90="","",CHOOSE(WEEKDAY(B90),"日","月","火","水","木","金","土"))</f>
        <v/>
      </c>
      <c r="D90" s="16" t="str">
        <f aca="false">IF(B90="","",INT((B90-設定!$B$6)/7)+1)</f>
        <v/>
      </c>
      <c r="E90" s="18"/>
      <c r="F90" s="18"/>
      <c r="G90" s="19"/>
      <c r="H90" s="19"/>
      <c r="I90" s="18"/>
      <c r="J90" s="18"/>
      <c r="K90" s="18"/>
      <c r="L90" s="18"/>
      <c r="M90" s="18"/>
      <c r="N90" s="18"/>
      <c r="O90" s="20" t="str">
        <f aca="false">IF(OR(I90="",I90=0,K90=""),"",K90/I90)</f>
        <v/>
      </c>
      <c r="P90" s="16" t="str">
        <f aca="false">IF(B90="","",IF(OR(AND(K90&lt;&gt;"",K90&gt;=設定!$B$7),AND(L90&lt;&gt;"",L90&gt;=設定!$B$8),AND(O90&lt;&gt;"",O90&gt;=設定!$B$9)),"○","×"))</f>
        <v/>
      </c>
      <c r="Q90" s="19"/>
      <c r="R90" s="21" t="str">
        <f aca="false">IF(B90="","",D90&amp;"-"&amp;N(K90))</f>
        <v/>
      </c>
    </row>
    <row r="91" customFormat="false" ht="15" hidden="false" customHeight="false" outlineLevel="0" collapsed="false">
      <c r="A91" s="16" t="n">
        <v>86</v>
      </c>
      <c r="B91" s="17"/>
      <c r="C91" s="16" t="str">
        <f aca="false">IF(B91="","",CHOOSE(WEEKDAY(B91),"日","月","火","水","木","金","土"))</f>
        <v/>
      </c>
      <c r="D91" s="16" t="str">
        <f aca="false">IF(B91="","",INT((B91-設定!$B$6)/7)+1)</f>
        <v/>
      </c>
      <c r="E91" s="18"/>
      <c r="F91" s="18"/>
      <c r="G91" s="19"/>
      <c r="H91" s="19"/>
      <c r="I91" s="18"/>
      <c r="J91" s="18"/>
      <c r="K91" s="18"/>
      <c r="L91" s="18"/>
      <c r="M91" s="18"/>
      <c r="N91" s="18"/>
      <c r="O91" s="20" t="str">
        <f aca="false">IF(OR(I91="",I91=0,K91=""),"",K91/I91)</f>
        <v/>
      </c>
      <c r="P91" s="16" t="str">
        <f aca="false">IF(B91="","",IF(OR(AND(K91&lt;&gt;"",K91&gt;=設定!$B$7),AND(L91&lt;&gt;"",L91&gt;=設定!$B$8),AND(O91&lt;&gt;"",O91&gt;=設定!$B$9)),"○","×"))</f>
        <v/>
      </c>
      <c r="Q91" s="19"/>
      <c r="R91" s="21" t="str">
        <f aca="false">IF(B91="","",D91&amp;"-"&amp;N(K91))</f>
        <v/>
      </c>
    </row>
    <row r="92" customFormat="false" ht="15" hidden="false" customHeight="false" outlineLevel="0" collapsed="false">
      <c r="A92" s="16" t="n">
        <v>87</v>
      </c>
      <c r="B92" s="17"/>
      <c r="C92" s="16" t="str">
        <f aca="false">IF(B92="","",CHOOSE(WEEKDAY(B92),"日","月","火","水","木","金","土"))</f>
        <v/>
      </c>
      <c r="D92" s="16" t="str">
        <f aca="false">IF(B92="","",INT((B92-設定!$B$6)/7)+1)</f>
        <v/>
      </c>
      <c r="E92" s="18"/>
      <c r="F92" s="18"/>
      <c r="G92" s="19"/>
      <c r="H92" s="19"/>
      <c r="I92" s="18"/>
      <c r="J92" s="18"/>
      <c r="K92" s="18"/>
      <c r="L92" s="18"/>
      <c r="M92" s="18"/>
      <c r="N92" s="18"/>
      <c r="O92" s="20" t="str">
        <f aca="false">IF(OR(I92="",I92=0,K92=""),"",K92/I92)</f>
        <v/>
      </c>
      <c r="P92" s="16" t="str">
        <f aca="false">IF(B92="","",IF(OR(AND(K92&lt;&gt;"",K92&gt;=設定!$B$7),AND(L92&lt;&gt;"",L92&gt;=設定!$B$8),AND(O92&lt;&gt;"",O92&gt;=設定!$B$9)),"○","×"))</f>
        <v/>
      </c>
      <c r="Q92" s="19"/>
      <c r="R92" s="21" t="str">
        <f aca="false">IF(B92="","",D92&amp;"-"&amp;N(K92))</f>
        <v/>
      </c>
    </row>
    <row r="93" customFormat="false" ht="15" hidden="false" customHeight="false" outlineLevel="0" collapsed="false">
      <c r="A93" s="16" t="n">
        <v>88</v>
      </c>
      <c r="B93" s="17"/>
      <c r="C93" s="16" t="str">
        <f aca="false">IF(B93="","",CHOOSE(WEEKDAY(B93),"日","月","火","水","木","金","土"))</f>
        <v/>
      </c>
      <c r="D93" s="16" t="str">
        <f aca="false">IF(B93="","",INT((B93-設定!$B$6)/7)+1)</f>
        <v/>
      </c>
      <c r="E93" s="18"/>
      <c r="F93" s="18"/>
      <c r="G93" s="19"/>
      <c r="H93" s="19"/>
      <c r="I93" s="18"/>
      <c r="J93" s="18"/>
      <c r="K93" s="18"/>
      <c r="L93" s="18"/>
      <c r="M93" s="18"/>
      <c r="N93" s="18"/>
      <c r="O93" s="20" t="str">
        <f aca="false">IF(OR(I93="",I93=0,K93=""),"",K93/I93)</f>
        <v/>
      </c>
      <c r="P93" s="16" t="str">
        <f aca="false">IF(B93="","",IF(OR(AND(K93&lt;&gt;"",K93&gt;=設定!$B$7),AND(L93&lt;&gt;"",L93&gt;=設定!$B$8),AND(O93&lt;&gt;"",O93&gt;=設定!$B$9)),"○","×"))</f>
        <v/>
      </c>
      <c r="Q93" s="19"/>
      <c r="R93" s="21" t="str">
        <f aca="false">IF(B93="","",D93&amp;"-"&amp;N(K93))</f>
        <v/>
      </c>
    </row>
    <row r="94" customFormat="false" ht="15" hidden="false" customHeight="false" outlineLevel="0" collapsed="false">
      <c r="A94" s="16" t="n">
        <v>89</v>
      </c>
      <c r="B94" s="17"/>
      <c r="C94" s="16" t="str">
        <f aca="false">IF(B94="","",CHOOSE(WEEKDAY(B94),"日","月","火","水","木","金","土"))</f>
        <v/>
      </c>
      <c r="D94" s="16" t="str">
        <f aca="false">IF(B94="","",INT((B94-設定!$B$6)/7)+1)</f>
        <v/>
      </c>
      <c r="E94" s="18"/>
      <c r="F94" s="18"/>
      <c r="G94" s="19"/>
      <c r="H94" s="19"/>
      <c r="I94" s="18"/>
      <c r="J94" s="18"/>
      <c r="K94" s="18"/>
      <c r="L94" s="18"/>
      <c r="M94" s="18"/>
      <c r="N94" s="18"/>
      <c r="O94" s="20" t="str">
        <f aca="false">IF(OR(I94="",I94=0,K94=""),"",K94/I94)</f>
        <v/>
      </c>
      <c r="P94" s="16" t="str">
        <f aca="false">IF(B94="","",IF(OR(AND(K94&lt;&gt;"",K94&gt;=設定!$B$7),AND(L94&lt;&gt;"",L94&gt;=設定!$B$8),AND(O94&lt;&gt;"",O94&gt;=設定!$B$9)),"○","×"))</f>
        <v/>
      </c>
      <c r="Q94" s="19"/>
      <c r="R94" s="21" t="str">
        <f aca="false">IF(B94="","",D94&amp;"-"&amp;N(K94))</f>
        <v/>
      </c>
    </row>
    <row r="95" customFormat="false" ht="15" hidden="false" customHeight="false" outlineLevel="0" collapsed="false">
      <c r="A95" s="16" t="n">
        <v>90</v>
      </c>
      <c r="B95" s="17"/>
      <c r="C95" s="16" t="str">
        <f aca="false">IF(B95="","",CHOOSE(WEEKDAY(B95),"日","月","火","水","木","金","土"))</f>
        <v/>
      </c>
      <c r="D95" s="16" t="str">
        <f aca="false">IF(B95="","",INT((B95-設定!$B$6)/7)+1)</f>
        <v/>
      </c>
      <c r="E95" s="18"/>
      <c r="F95" s="18"/>
      <c r="G95" s="19"/>
      <c r="H95" s="19"/>
      <c r="I95" s="18"/>
      <c r="J95" s="18"/>
      <c r="K95" s="18"/>
      <c r="L95" s="18"/>
      <c r="M95" s="18"/>
      <c r="N95" s="18"/>
      <c r="O95" s="20" t="str">
        <f aca="false">IF(OR(I95="",I95=0,K95=""),"",K95/I95)</f>
        <v/>
      </c>
      <c r="P95" s="16" t="str">
        <f aca="false">IF(B95="","",IF(OR(AND(K95&lt;&gt;"",K95&gt;=設定!$B$7),AND(L95&lt;&gt;"",L95&gt;=設定!$B$8),AND(O95&lt;&gt;"",O95&gt;=設定!$B$9)),"○","×"))</f>
        <v/>
      </c>
      <c r="Q95" s="19"/>
      <c r="R95" s="21" t="str">
        <f aca="false">IF(B95="","",D95&amp;"-"&amp;N(K95))</f>
        <v/>
      </c>
    </row>
    <row r="96" customFormat="false" ht="15" hidden="false" customHeight="false" outlineLevel="0" collapsed="false">
      <c r="A96" s="16" t="n">
        <v>91</v>
      </c>
      <c r="B96" s="17"/>
      <c r="C96" s="16" t="str">
        <f aca="false">IF(B96="","",CHOOSE(WEEKDAY(B96),"日","月","火","水","木","金","土"))</f>
        <v/>
      </c>
      <c r="D96" s="16" t="str">
        <f aca="false">IF(B96="","",INT((B96-設定!$B$6)/7)+1)</f>
        <v/>
      </c>
      <c r="E96" s="18"/>
      <c r="F96" s="18"/>
      <c r="G96" s="19"/>
      <c r="H96" s="19"/>
      <c r="I96" s="18"/>
      <c r="J96" s="18"/>
      <c r="K96" s="18"/>
      <c r="L96" s="18"/>
      <c r="M96" s="18"/>
      <c r="N96" s="18"/>
      <c r="O96" s="20" t="str">
        <f aca="false">IF(OR(I96="",I96=0,K96=""),"",K96/I96)</f>
        <v/>
      </c>
      <c r="P96" s="16" t="str">
        <f aca="false">IF(B96="","",IF(OR(AND(K96&lt;&gt;"",K96&gt;=設定!$B$7),AND(L96&lt;&gt;"",L96&gt;=設定!$B$8),AND(O96&lt;&gt;"",O96&gt;=設定!$B$9)),"○","×"))</f>
        <v/>
      </c>
      <c r="Q96" s="19"/>
      <c r="R96" s="21" t="str">
        <f aca="false">IF(B96="","",D96&amp;"-"&amp;N(K96))</f>
        <v/>
      </c>
    </row>
    <row r="97" customFormat="false" ht="15" hidden="false" customHeight="false" outlineLevel="0" collapsed="false">
      <c r="A97" s="16" t="n">
        <v>92</v>
      </c>
      <c r="B97" s="17"/>
      <c r="C97" s="16" t="str">
        <f aca="false">IF(B97="","",CHOOSE(WEEKDAY(B97),"日","月","火","水","木","金","土"))</f>
        <v/>
      </c>
      <c r="D97" s="16" t="str">
        <f aca="false">IF(B97="","",INT((B97-設定!$B$6)/7)+1)</f>
        <v/>
      </c>
      <c r="E97" s="18"/>
      <c r="F97" s="18"/>
      <c r="G97" s="19"/>
      <c r="H97" s="19"/>
      <c r="I97" s="18"/>
      <c r="J97" s="18"/>
      <c r="K97" s="18"/>
      <c r="L97" s="18"/>
      <c r="M97" s="18"/>
      <c r="N97" s="18"/>
      <c r="O97" s="20" t="str">
        <f aca="false">IF(OR(I97="",I97=0,K97=""),"",K97/I97)</f>
        <v/>
      </c>
      <c r="P97" s="16" t="str">
        <f aca="false">IF(B97="","",IF(OR(AND(K97&lt;&gt;"",K97&gt;=設定!$B$7),AND(L97&lt;&gt;"",L97&gt;=設定!$B$8),AND(O97&lt;&gt;"",O97&gt;=設定!$B$9)),"○","×"))</f>
        <v/>
      </c>
      <c r="Q97" s="19"/>
      <c r="R97" s="21" t="str">
        <f aca="false">IF(B97="","",D97&amp;"-"&amp;N(K97))</f>
        <v/>
      </c>
    </row>
    <row r="98" customFormat="false" ht="15" hidden="false" customHeight="false" outlineLevel="0" collapsed="false">
      <c r="A98" s="16" t="n">
        <v>93</v>
      </c>
      <c r="B98" s="17"/>
      <c r="C98" s="16" t="str">
        <f aca="false">IF(B98="","",CHOOSE(WEEKDAY(B98),"日","月","火","水","木","金","土"))</f>
        <v/>
      </c>
      <c r="D98" s="16" t="str">
        <f aca="false">IF(B98="","",INT((B98-設定!$B$6)/7)+1)</f>
        <v/>
      </c>
      <c r="E98" s="18"/>
      <c r="F98" s="18"/>
      <c r="G98" s="19"/>
      <c r="H98" s="19"/>
      <c r="I98" s="18"/>
      <c r="J98" s="18"/>
      <c r="K98" s="18"/>
      <c r="L98" s="18"/>
      <c r="M98" s="18"/>
      <c r="N98" s="18"/>
      <c r="O98" s="20" t="str">
        <f aca="false">IF(OR(I98="",I98=0,K98=""),"",K98/I98)</f>
        <v/>
      </c>
      <c r="P98" s="16" t="str">
        <f aca="false">IF(B98="","",IF(OR(AND(K98&lt;&gt;"",K98&gt;=設定!$B$7),AND(L98&lt;&gt;"",L98&gt;=設定!$B$8),AND(O98&lt;&gt;"",O98&gt;=設定!$B$9)),"○","×"))</f>
        <v/>
      </c>
      <c r="Q98" s="19"/>
      <c r="R98" s="21" t="str">
        <f aca="false">IF(B98="","",D98&amp;"-"&amp;N(K98))</f>
        <v/>
      </c>
    </row>
    <row r="99" customFormat="false" ht="15" hidden="false" customHeight="false" outlineLevel="0" collapsed="false">
      <c r="A99" s="16" t="n">
        <v>94</v>
      </c>
      <c r="B99" s="17"/>
      <c r="C99" s="16" t="str">
        <f aca="false">IF(B99="","",CHOOSE(WEEKDAY(B99),"日","月","火","水","木","金","土"))</f>
        <v/>
      </c>
      <c r="D99" s="16" t="str">
        <f aca="false">IF(B99="","",INT((B99-設定!$B$6)/7)+1)</f>
        <v/>
      </c>
      <c r="E99" s="18"/>
      <c r="F99" s="18"/>
      <c r="G99" s="19"/>
      <c r="H99" s="19"/>
      <c r="I99" s="18"/>
      <c r="J99" s="18"/>
      <c r="K99" s="18"/>
      <c r="L99" s="18"/>
      <c r="M99" s="18"/>
      <c r="N99" s="18"/>
      <c r="O99" s="20" t="str">
        <f aca="false">IF(OR(I99="",I99=0,K99=""),"",K99/I99)</f>
        <v/>
      </c>
      <c r="P99" s="16" t="str">
        <f aca="false">IF(B99="","",IF(OR(AND(K99&lt;&gt;"",K99&gt;=設定!$B$7),AND(L99&lt;&gt;"",L99&gt;=設定!$B$8),AND(O99&lt;&gt;"",O99&gt;=設定!$B$9)),"○","×"))</f>
        <v/>
      </c>
      <c r="Q99" s="19"/>
      <c r="R99" s="21" t="str">
        <f aca="false">IF(B99="","",D99&amp;"-"&amp;N(K99))</f>
        <v/>
      </c>
    </row>
    <row r="100" customFormat="false" ht="15" hidden="false" customHeight="false" outlineLevel="0" collapsed="false">
      <c r="A100" s="16" t="n">
        <v>95</v>
      </c>
      <c r="B100" s="17"/>
      <c r="C100" s="16" t="str">
        <f aca="false">IF(B100="","",CHOOSE(WEEKDAY(B100),"日","月","火","水","木","金","土"))</f>
        <v/>
      </c>
      <c r="D100" s="16" t="str">
        <f aca="false">IF(B100="","",INT((B100-設定!$B$6)/7)+1)</f>
        <v/>
      </c>
      <c r="E100" s="18"/>
      <c r="F100" s="18"/>
      <c r="G100" s="19"/>
      <c r="H100" s="19"/>
      <c r="I100" s="18"/>
      <c r="J100" s="18"/>
      <c r="K100" s="18"/>
      <c r="L100" s="18"/>
      <c r="M100" s="18"/>
      <c r="N100" s="18"/>
      <c r="O100" s="20" t="str">
        <f aca="false">IF(OR(I100="",I100=0,K100=""),"",K100/I100)</f>
        <v/>
      </c>
      <c r="P100" s="16" t="str">
        <f aca="false">IF(B100="","",IF(OR(AND(K100&lt;&gt;"",K100&gt;=設定!$B$7),AND(L100&lt;&gt;"",L100&gt;=設定!$B$8),AND(O100&lt;&gt;"",O100&gt;=設定!$B$9)),"○","×"))</f>
        <v/>
      </c>
      <c r="Q100" s="19"/>
      <c r="R100" s="21" t="str">
        <f aca="false">IF(B100="","",D100&amp;"-"&amp;N(K100))</f>
        <v/>
      </c>
    </row>
    <row r="101" customFormat="false" ht="15" hidden="false" customHeight="false" outlineLevel="0" collapsed="false">
      <c r="A101" s="16" t="n">
        <v>96</v>
      </c>
      <c r="B101" s="17"/>
      <c r="C101" s="16" t="str">
        <f aca="false">IF(B101="","",CHOOSE(WEEKDAY(B101),"日","月","火","水","木","金","土"))</f>
        <v/>
      </c>
      <c r="D101" s="16" t="str">
        <f aca="false">IF(B101="","",INT((B101-設定!$B$6)/7)+1)</f>
        <v/>
      </c>
      <c r="E101" s="18"/>
      <c r="F101" s="18"/>
      <c r="G101" s="19"/>
      <c r="H101" s="19"/>
      <c r="I101" s="18"/>
      <c r="J101" s="18"/>
      <c r="K101" s="18"/>
      <c r="L101" s="18"/>
      <c r="M101" s="18"/>
      <c r="N101" s="18"/>
      <c r="O101" s="20" t="str">
        <f aca="false">IF(OR(I101="",I101=0,K101=""),"",K101/I101)</f>
        <v/>
      </c>
      <c r="P101" s="16" t="str">
        <f aca="false">IF(B101="","",IF(OR(AND(K101&lt;&gt;"",K101&gt;=設定!$B$7),AND(L101&lt;&gt;"",L101&gt;=設定!$B$8),AND(O101&lt;&gt;"",O101&gt;=設定!$B$9)),"○","×"))</f>
        <v/>
      </c>
      <c r="Q101" s="19"/>
      <c r="R101" s="21" t="str">
        <f aca="false">IF(B101="","",D101&amp;"-"&amp;N(K101))</f>
        <v/>
      </c>
    </row>
    <row r="102" customFormat="false" ht="15" hidden="false" customHeight="false" outlineLevel="0" collapsed="false">
      <c r="A102" s="16" t="n">
        <v>97</v>
      </c>
      <c r="B102" s="17"/>
      <c r="C102" s="16" t="str">
        <f aca="false">IF(B102="","",CHOOSE(WEEKDAY(B102),"日","月","火","水","木","金","土"))</f>
        <v/>
      </c>
      <c r="D102" s="16" t="str">
        <f aca="false">IF(B102="","",INT((B102-設定!$B$6)/7)+1)</f>
        <v/>
      </c>
      <c r="E102" s="18"/>
      <c r="F102" s="18"/>
      <c r="G102" s="19"/>
      <c r="H102" s="19"/>
      <c r="I102" s="18"/>
      <c r="J102" s="18"/>
      <c r="K102" s="18"/>
      <c r="L102" s="18"/>
      <c r="M102" s="18"/>
      <c r="N102" s="18"/>
      <c r="O102" s="20" t="str">
        <f aca="false">IF(OR(I102="",I102=0,K102=""),"",K102/I102)</f>
        <v/>
      </c>
      <c r="P102" s="16" t="str">
        <f aca="false">IF(B102="","",IF(OR(AND(K102&lt;&gt;"",K102&gt;=設定!$B$7),AND(L102&lt;&gt;"",L102&gt;=設定!$B$8),AND(O102&lt;&gt;"",O102&gt;=設定!$B$9)),"○","×"))</f>
        <v/>
      </c>
      <c r="Q102" s="19"/>
      <c r="R102" s="21" t="str">
        <f aca="false">IF(B102="","",D102&amp;"-"&amp;N(K102))</f>
        <v/>
      </c>
    </row>
    <row r="103" customFormat="false" ht="15" hidden="false" customHeight="false" outlineLevel="0" collapsed="false">
      <c r="A103" s="16" t="n">
        <v>98</v>
      </c>
      <c r="B103" s="17"/>
      <c r="C103" s="16" t="str">
        <f aca="false">IF(B103="","",CHOOSE(WEEKDAY(B103),"日","月","火","水","木","金","土"))</f>
        <v/>
      </c>
      <c r="D103" s="16" t="str">
        <f aca="false">IF(B103="","",INT((B103-設定!$B$6)/7)+1)</f>
        <v/>
      </c>
      <c r="E103" s="18"/>
      <c r="F103" s="18"/>
      <c r="G103" s="19"/>
      <c r="H103" s="19"/>
      <c r="I103" s="18"/>
      <c r="J103" s="18"/>
      <c r="K103" s="18"/>
      <c r="L103" s="18"/>
      <c r="M103" s="18"/>
      <c r="N103" s="18"/>
      <c r="O103" s="20" t="str">
        <f aca="false">IF(OR(I103="",I103=0,K103=""),"",K103/I103)</f>
        <v/>
      </c>
      <c r="P103" s="16" t="str">
        <f aca="false">IF(B103="","",IF(OR(AND(K103&lt;&gt;"",K103&gt;=設定!$B$7),AND(L103&lt;&gt;"",L103&gt;=設定!$B$8),AND(O103&lt;&gt;"",O103&gt;=設定!$B$9)),"○","×"))</f>
        <v/>
      </c>
      <c r="Q103" s="19"/>
      <c r="R103" s="21" t="str">
        <f aca="false">IF(B103="","",D103&amp;"-"&amp;N(K103))</f>
        <v/>
      </c>
    </row>
    <row r="104" customFormat="false" ht="15" hidden="false" customHeight="false" outlineLevel="0" collapsed="false">
      <c r="A104" s="16" t="n">
        <v>99</v>
      </c>
      <c r="B104" s="17"/>
      <c r="C104" s="16" t="str">
        <f aca="false">IF(B104="","",CHOOSE(WEEKDAY(B104),"日","月","火","水","木","金","土"))</f>
        <v/>
      </c>
      <c r="D104" s="16" t="str">
        <f aca="false">IF(B104="","",INT((B104-設定!$B$6)/7)+1)</f>
        <v/>
      </c>
      <c r="E104" s="18"/>
      <c r="F104" s="18"/>
      <c r="G104" s="19"/>
      <c r="H104" s="19"/>
      <c r="I104" s="18"/>
      <c r="J104" s="18"/>
      <c r="K104" s="18"/>
      <c r="L104" s="18"/>
      <c r="M104" s="18"/>
      <c r="N104" s="18"/>
      <c r="O104" s="20" t="str">
        <f aca="false">IF(OR(I104="",I104=0,K104=""),"",K104/I104)</f>
        <v/>
      </c>
      <c r="P104" s="16" t="str">
        <f aca="false">IF(B104="","",IF(OR(AND(K104&lt;&gt;"",K104&gt;=設定!$B$7),AND(L104&lt;&gt;"",L104&gt;=設定!$B$8),AND(O104&lt;&gt;"",O104&gt;=設定!$B$9)),"○","×"))</f>
        <v/>
      </c>
      <c r="Q104" s="19"/>
      <c r="R104" s="21" t="str">
        <f aca="false">IF(B104="","",D104&amp;"-"&amp;N(K104))</f>
        <v/>
      </c>
    </row>
    <row r="105" customFormat="false" ht="15" hidden="false" customHeight="false" outlineLevel="0" collapsed="false">
      <c r="A105" s="16" t="n">
        <v>100</v>
      </c>
      <c r="B105" s="17"/>
      <c r="C105" s="16" t="str">
        <f aca="false">IF(B105="","",CHOOSE(WEEKDAY(B105),"日","月","火","水","木","金","土"))</f>
        <v/>
      </c>
      <c r="D105" s="16" t="str">
        <f aca="false">IF(B105="","",INT((B105-設定!$B$6)/7)+1)</f>
        <v/>
      </c>
      <c r="E105" s="18"/>
      <c r="F105" s="18"/>
      <c r="G105" s="19"/>
      <c r="H105" s="19"/>
      <c r="I105" s="18"/>
      <c r="J105" s="18"/>
      <c r="K105" s="18"/>
      <c r="L105" s="18"/>
      <c r="M105" s="18"/>
      <c r="N105" s="18"/>
      <c r="O105" s="20" t="str">
        <f aca="false">IF(OR(I105="",I105=0,K105=""),"",K105/I105)</f>
        <v/>
      </c>
      <c r="P105" s="16" t="str">
        <f aca="false">IF(B105="","",IF(OR(AND(K105&lt;&gt;"",K105&gt;=設定!$B$7),AND(L105&lt;&gt;"",L105&gt;=設定!$B$8),AND(O105&lt;&gt;"",O105&gt;=設定!$B$9)),"○","×"))</f>
        <v/>
      </c>
      <c r="Q105" s="19"/>
      <c r="R105" s="21" t="str">
        <f aca="false">IF(B105="","",D105&amp;"-"&amp;N(K105))</f>
        <v/>
      </c>
    </row>
    <row r="106" customFormat="false" ht="15" hidden="false" customHeight="false" outlineLevel="0" collapsed="false">
      <c r="A106" s="16" t="n">
        <v>101</v>
      </c>
      <c r="B106" s="17"/>
      <c r="C106" s="16" t="str">
        <f aca="false">IF(B106="","",CHOOSE(WEEKDAY(B106),"日","月","火","水","木","金","土"))</f>
        <v/>
      </c>
      <c r="D106" s="16" t="str">
        <f aca="false">IF(B106="","",INT((B106-設定!$B$6)/7)+1)</f>
        <v/>
      </c>
      <c r="E106" s="18"/>
      <c r="F106" s="18"/>
      <c r="G106" s="19"/>
      <c r="H106" s="19"/>
      <c r="I106" s="18"/>
      <c r="J106" s="18"/>
      <c r="K106" s="18"/>
      <c r="L106" s="18"/>
      <c r="M106" s="18"/>
      <c r="N106" s="18"/>
      <c r="O106" s="20" t="str">
        <f aca="false">IF(OR(I106="",I106=0,K106=""),"",K106/I106)</f>
        <v/>
      </c>
      <c r="P106" s="16" t="str">
        <f aca="false">IF(B106="","",IF(OR(AND(K106&lt;&gt;"",K106&gt;=設定!$B$7),AND(L106&lt;&gt;"",L106&gt;=設定!$B$8),AND(O106&lt;&gt;"",O106&gt;=設定!$B$9)),"○","×"))</f>
        <v/>
      </c>
      <c r="Q106" s="19"/>
      <c r="R106" s="21" t="str">
        <f aca="false">IF(B106="","",D106&amp;"-"&amp;N(K106))</f>
        <v/>
      </c>
    </row>
    <row r="107" customFormat="false" ht="15" hidden="false" customHeight="false" outlineLevel="0" collapsed="false">
      <c r="A107" s="16" t="n">
        <v>102</v>
      </c>
      <c r="B107" s="17"/>
      <c r="C107" s="16" t="str">
        <f aca="false">IF(B107="","",CHOOSE(WEEKDAY(B107),"日","月","火","水","木","金","土"))</f>
        <v/>
      </c>
      <c r="D107" s="16" t="str">
        <f aca="false">IF(B107="","",INT((B107-設定!$B$6)/7)+1)</f>
        <v/>
      </c>
      <c r="E107" s="18"/>
      <c r="F107" s="18"/>
      <c r="G107" s="19"/>
      <c r="H107" s="19"/>
      <c r="I107" s="18"/>
      <c r="J107" s="18"/>
      <c r="K107" s="18"/>
      <c r="L107" s="18"/>
      <c r="M107" s="18"/>
      <c r="N107" s="18"/>
      <c r="O107" s="20" t="str">
        <f aca="false">IF(OR(I107="",I107=0,K107=""),"",K107/I107)</f>
        <v/>
      </c>
      <c r="P107" s="16" t="str">
        <f aca="false">IF(B107="","",IF(OR(AND(K107&lt;&gt;"",K107&gt;=設定!$B$7),AND(L107&lt;&gt;"",L107&gt;=設定!$B$8),AND(O107&lt;&gt;"",O107&gt;=設定!$B$9)),"○","×"))</f>
        <v/>
      </c>
      <c r="Q107" s="19"/>
      <c r="R107" s="21" t="str">
        <f aca="false">IF(B107="","",D107&amp;"-"&amp;N(K107))</f>
        <v/>
      </c>
    </row>
    <row r="108" customFormat="false" ht="15" hidden="false" customHeight="false" outlineLevel="0" collapsed="false">
      <c r="A108" s="16" t="n">
        <v>103</v>
      </c>
      <c r="B108" s="17"/>
      <c r="C108" s="16" t="str">
        <f aca="false">IF(B108="","",CHOOSE(WEEKDAY(B108),"日","月","火","水","木","金","土"))</f>
        <v/>
      </c>
      <c r="D108" s="16" t="str">
        <f aca="false">IF(B108="","",INT((B108-設定!$B$6)/7)+1)</f>
        <v/>
      </c>
      <c r="E108" s="18"/>
      <c r="F108" s="18"/>
      <c r="G108" s="19"/>
      <c r="H108" s="19"/>
      <c r="I108" s="18"/>
      <c r="J108" s="18"/>
      <c r="K108" s="18"/>
      <c r="L108" s="18"/>
      <c r="M108" s="18"/>
      <c r="N108" s="18"/>
      <c r="O108" s="20" t="str">
        <f aca="false">IF(OR(I108="",I108=0,K108=""),"",K108/I108)</f>
        <v/>
      </c>
      <c r="P108" s="16" t="str">
        <f aca="false">IF(B108="","",IF(OR(AND(K108&lt;&gt;"",K108&gt;=設定!$B$7),AND(L108&lt;&gt;"",L108&gt;=設定!$B$8),AND(O108&lt;&gt;"",O108&gt;=設定!$B$9)),"○","×"))</f>
        <v/>
      </c>
      <c r="Q108" s="19"/>
      <c r="R108" s="21" t="str">
        <f aca="false">IF(B108="","",D108&amp;"-"&amp;N(K108))</f>
        <v/>
      </c>
    </row>
    <row r="109" customFormat="false" ht="15" hidden="false" customHeight="false" outlineLevel="0" collapsed="false">
      <c r="A109" s="16" t="n">
        <v>104</v>
      </c>
      <c r="B109" s="17"/>
      <c r="C109" s="16" t="str">
        <f aca="false">IF(B109="","",CHOOSE(WEEKDAY(B109),"日","月","火","水","木","金","土"))</f>
        <v/>
      </c>
      <c r="D109" s="16" t="str">
        <f aca="false">IF(B109="","",INT((B109-設定!$B$6)/7)+1)</f>
        <v/>
      </c>
      <c r="E109" s="18"/>
      <c r="F109" s="18"/>
      <c r="G109" s="19"/>
      <c r="H109" s="19"/>
      <c r="I109" s="18"/>
      <c r="J109" s="18"/>
      <c r="K109" s="18"/>
      <c r="L109" s="18"/>
      <c r="M109" s="18"/>
      <c r="N109" s="18"/>
      <c r="O109" s="20" t="str">
        <f aca="false">IF(OR(I109="",I109=0,K109=""),"",K109/I109)</f>
        <v/>
      </c>
      <c r="P109" s="16" t="str">
        <f aca="false">IF(B109="","",IF(OR(AND(K109&lt;&gt;"",K109&gt;=設定!$B$7),AND(L109&lt;&gt;"",L109&gt;=設定!$B$8),AND(O109&lt;&gt;"",O109&gt;=設定!$B$9)),"○","×"))</f>
        <v/>
      </c>
      <c r="Q109" s="19"/>
      <c r="R109" s="21" t="str">
        <f aca="false">IF(B109="","",D109&amp;"-"&amp;N(K109))</f>
        <v/>
      </c>
    </row>
    <row r="110" customFormat="false" ht="15" hidden="false" customHeight="false" outlineLevel="0" collapsed="false">
      <c r="A110" s="16" t="n">
        <v>105</v>
      </c>
      <c r="B110" s="17"/>
      <c r="C110" s="16" t="str">
        <f aca="false">IF(B110="","",CHOOSE(WEEKDAY(B110),"日","月","火","水","木","金","土"))</f>
        <v/>
      </c>
      <c r="D110" s="16" t="str">
        <f aca="false">IF(B110="","",INT((B110-設定!$B$6)/7)+1)</f>
        <v/>
      </c>
      <c r="E110" s="18"/>
      <c r="F110" s="18"/>
      <c r="G110" s="19"/>
      <c r="H110" s="19"/>
      <c r="I110" s="18"/>
      <c r="J110" s="18"/>
      <c r="K110" s="18"/>
      <c r="L110" s="18"/>
      <c r="M110" s="18"/>
      <c r="N110" s="18"/>
      <c r="O110" s="20" t="str">
        <f aca="false">IF(OR(I110="",I110=0,K110=""),"",K110/I110)</f>
        <v/>
      </c>
      <c r="P110" s="16" t="str">
        <f aca="false">IF(B110="","",IF(OR(AND(K110&lt;&gt;"",K110&gt;=設定!$B$7),AND(L110&lt;&gt;"",L110&gt;=設定!$B$8),AND(O110&lt;&gt;"",O110&gt;=設定!$B$9)),"○","×"))</f>
        <v/>
      </c>
      <c r="Q110" s="19"/>
      <c r="R110" s="21" t="str">
        <f aca="false">IF(B110="","",D110&amp;"-"&amp;N(K110))</f>
        <v/>
      </c>
    </row>
    <row r="111" customFormat="false" ht="15" hidden="false" customHeight="false" outlineLevel="0" collapsed="false">
      <c r="A111" s="16" t="n">
        <v>106</v>
      </c>
      <c r="B111" s="17"/>
      <c r="C111" s="16" t="str">
        <f aca="false">IF(B111="","",CHOOSE(WEEKDAY(B111),"日","月","火","水","木","金","土"))</f>
        <v/>
      </c>
      <c r="D111" s="16" t="str">
        <f aca="false">IF(B111="","",INT((B111-設定!$B$6)/7)+1)</f>
        <v/>
      </c>
      <c r="E111" s="18"/>
      <c r="F111" s="18"/>
      <c r="G111" s="19"/>
      <c r="H111" s="19"/>
      <c r="I111" s="18"/>
      <c r="J111" s="18"/>
      <c r="K111" s="18"/>
      <c r="L111" s="18"/>
      <c r="M111" s="18"/>
      <c r="N111" s="18"/>
      <c r="O111" s="20" t="str">
        <f aca="false">IF(OR(I111="",I111=0,K111=""),"",K111/I111)</f>
        <v/>
      </c>
      <c r="P111" s="16" t="str">
        <f aca="false">IF(B111="","",IF(OR(AND(K111&lt;&gt;"",K111&gt;=設定!$B$7),AND(L111&lt;&gt;"",L111&gt;=設定!$B$8),AND(O111&lt;&gt;"",O111&gt;=設定!$B$9)),"○","×"))</f>
        <v/>
      </c>
      <c r="Q111" s="19"/>
      <c r="R111" s="21" t="str">
        <f aca="false">IF(B111="","",D111&amp;"-"&amp;N(K111))</f>
        <v/>
      </c>
    </row>
    <row r="112" customFormat="false" ht="15" hidden="false" customHeight="false" outlineLevel="0" collapsed="false">
      <c r="A112" s="16" t="n">
        <v>107</v>
      </c>
      <c r="B112" s="17"/>
      <c r="C112" s="16" t="str">
        <f aca="false">IF(B112="","",CHOOSE(WEEKDAY(B112),"日","月","火","水","木","金","土"))</f>
        <v/>
      </c>
      <c r="D112" s="16" t="str">
        <f aca="false">IF(B112="","",INT((B112-設定!$B$6)/7)+1)</f>
        <v/>
      </c>
      <c r="E112" s="18"/>
      <c r="F112" s="18"/>
      <c r="G112" s="19"/>
      <c r="H112" s="19"/>
      <c r="I112" s="18"/>
      <c r="J112" s="18"/>
      <c r="K112" s="18"/>
      <c r="L112" s="18"/>
      <c r="M112" s="18"/>
      <c r="N112" s="18"/>
      <c r="O112" s="20" t="str">
        <f aca="false">IF(OR(I112="",I112=0,K112=""),"",K112/I112)</f>
        <v/>
      </c>
      <c r="P112" s="16" t="str">
        <f aca="false">IF(B112="","",IF(OR(AND(K112&lt;&gt;"",K112&gt;=設定!$B$7),AND(L112&lt;&gt;"",L112&gt;=設定!$B$8),AND(O112&lt;&gt;"",O112&gt;=設定!$B$9)),"○","×"))</f>
        <v/>
      </c>
      <c r="Q112" s="19"/>
      <c r="R112" s="21" t="str">
        <f aca="false">IF(B112="","",D112&amp;"-"&amp;N(K112))</f>
        <v/>
      </c>
    </row>
    <row r="113" customFormat="false" ht="15" hidden="false" customHeight="false" outlineLevel="0" collapsed="false">
      <c r="A113" s="16" t="n">
        <v>108</v>
      </c>
      <c r="B113" s="17"/>
      <c r="C113" s="16" t="str">
        <f aca="false">IF(B113="","",CHOOSE(WEEKDAY(B113),"日","月","火","水","木","金","土"))</f>
        <v/>
      </c>
      <c r="D113" s="16" t="str">
        <f aca="false">IF(B113="","",INT((B113-設定!$B$6)/7)+1)</f>
        <v/>
      </c>
      <c r="E113" s="18"/>
      <c r="F113" s="18"/>
      <c r="G113" s="19"/>
      <c r="H113" s="19"/>
      <c r="I113" s="18"/>
      <c r="J113" s="18"/>
      <c r="K113" s="18"/>
      <c r="L113" s="18"/>
      <c r="M113" s="18"/>
      <c r="N113" s="18"/>
      <c r="O113" s="20" t="str">
        <f aca="false">IF(OR(I113="",I113=0,K113=""),"",K113/I113)</f>
        <v/>
      </c>
      <c r="P113" s="16" t="str">
        <f aca="false">IF(B113="","",IF(OR(AND(K113&lt;&gt;"",K113&gt;=設定!$B$7),AND(L113&lt;&gt;"",L113&gt;=設定!$B$8),AND(O113&lt;&gt;"",O113&gt;=設定!$B$9)),"○","×"))</f>
        <v/>
      </c>
      <c r="Q113" s="19"/>
      <c r="R113" s="21" t="str">
        <f aca="false">IF(B113="","",D113&amp;"-"&amp;N(K113))</f>
        <v/>
      </c>
    </row>
    <row r="114" customFormat="false" ht="15" hidden="false" customHeight="false" outlineLevel="0" collapsed="false">
      <c r="A114" s="16" t="n">
        <v>109</v>
      </c>
      <c r="B114" s="17"/>
      <c r="C114" s="16" t="str">
        <f aca="false">IF(B114="","",CHOOSE(WEEKDAY(B114),"日","月","火","水","木","金","土"))</f>
        <v/>
      </c>
      <c r="D114" s="16" t="str">
        <f aca="false">IF(B114="","",INT((B114-設定!$B$6)/7)+1)</f>
        <v/>
      </c>
      <c r="E114" s="18"/>
      <c r="F114" s="18"/>
      <c r="G114" s="19"/>
      <c r="H114" s="19"/>
      <c r="I114" s="18"/>
      <c r="J114" s="18"/>
      <c r="K114" s="18"/>
      <c r="L114" s="18"/>
      <c r="M114" s="18"/>
      <c r="N114" s="18"/>
      <c r="O114" s="20" t="str">
        <f aca="false">IF(OR(I114="",I114=0,K114=""),"",K114/I114)</f>
        <v/>
      </c>
      <c r="P114" s="16" t="str">
        <f aca="false">IF(B114="","",IF(OR(AND(K114&lt;&gt;"",K114&gt;=設定!$B$7),AND(L114&lt;&gt;"",L114&gt;=設定!$B$8),AND(O114&lt;&gt;"",O114&gt;=設定!$B$9)),"○","×"))</f>
        <v/>
      </c>
      <c r="Q114" s="19"/>
      <c r="R114" s="21" t="str">
        <f aca="false">IF(B114="","",D114&amp;"-"&amp;N(K114))</f>
        <v/>
      </c>
    </row>
    <row r="115" customFormat="false" ht="15" hidden="false" customHeight="false" outlineLevel="0" collapsed="false">
      <c r="A115" s="16" t="n">
        <v>110</v>
      </c>
      <c r="B115" s="17"/>
      <c r="C115" s="16" t="str">
        <f aca="false">IF(B115="","",CHOOSE(WEEKDAY(B115),"日","月","火","水","木","金","土"))</f>
        <v/>
      </c>
      <c r="D115" s="16" t="str">
        <f aca="false">IF(B115="","",INT((B115-設定!$B$6)/7)+1)</f>
        <v/>
      </c>
      <c r="E115" s="18"/>
      <c r="F115" s="18"/>
      <c r="G115" s="19"/>
      <c r="H115" s="19"/>
      <c r="I115" s="18"/>
      <c r="J115" s="18"/>
      <c r="K115" s="18"/>
      <c r="L115" s="18"/>
      <c r="M115" s="18"/>
      <c r="N115" s="18"/>
      <c r="O115" s="20" t="str">
        <f aca="false">IF(OR(I115="",I115=0,K115=""),"",K115/I115)</f>
        <v/>
      </c>
      <c r="P115" s="16" t="str">
        <f aca="false">IF(B115="","",IF(OR(AND(K115&lt;&gt;"",K115&gt;=設定!$B$7),AND(L115&lt;&gt;"",L115&gt;=設定!$B$8),AND(O115&lt;&gt;"",O115&gt;=設定!$B$9)),"○","×"))</f>
        <v/>
      </c>
      <c r="Q115" s="19"/>
      <c r="R115" s="21" t="str">
        <f aca="false">IF(B115="","",D115&amp;"-"&amp;N(K115))</f>
        <v/>
      </c>
    </row>
    <row r="116" customFormat="false" ht="15" hidden="false" customHeight="false" outlineLevel="0" collapsed="false">
      <c r="A116" s="16" t="n">
        <v>111</v>
      </c>
      <c r="B116" s="17"/>
      <c r="C116" s="16" t="str">
        <f aca="false">IF(B116="","",CHOOSE(WEEKDAY(B116),"日","月","火","水","木","金","土"))</f>
        <v/>
      </c>
      <c r="D116" s="16" t="str">
        <f aca="false">IF(B116="","",INT((B116-設定!$B$6)/7)+1)</f>
        <v/>
      </c>
      <c r="E116" s="18"/>
      <c r="F116" s="18"/>
      <c r="G116" s="19"/>
      <c r="H116" s="19"/>
      <c r="I116" s="18"/>
      <c r="J116" s="18"/>
      <c r="K116" s="18"/>
      <c r="L116" s="18"/>
      <c r="M116" s="18"/>
      <c r="N116" s="18"/>
      <c r="O116" s="20" t="str">
        <f aca="false">IF(OR(I116="",I116=0,K116=""),"",K116/I116)</f>
        <v/>
      </c>
      <c r="P116" s="16" t="str">
        <f aca="false">IF(B116="","",IF(OR(AND(K116&lt;&gt;"",K116&gt;=設定!$B$7),AND(L116&lt;&gt;"",L116&gt;=設定!$B$8),AND(O116&lt;&gt;"",O116&gt;=設定!$B$9)),"○","×"))</f>
        <v/>
      </c>
      <c r="Q116" s="19"/>
      <c r="R116" s="21" t="str">
        <f aca="false">IF(B116="","",D116&amp;"-"&amp;N(K116))</f>
        <v/>
      </c>
    </row>
    <row r="117" customFormat="false" ht="15" hidden="false" customHeight="false" outlineLevel="0" collapsed="false">
      <c r="A117" s="16" t="n">
        <v>112</v>
      </c>
      <c r="B117" s="17"/>
      <c r="C117" s="16" t="str">
        <f aca="false">IF(B117="","",CHOOSE(WEEKDAY(B117),"日","月","火","水","木","金","土"))</f>
        <v/>
      </c>
      <c r="D117" s="16" t="str">
        <f aca="false">IF(B117="","",INT((B117-設定!$B$6)/7)+1)</f>
        <v/>
      </c>
      <c r="E117" s="18"/>
      <c r="F117" s="18"/>
      <c r="G117" s="19"/>
      <c r="H117" s="19"/>
      <c r="I117" s="18"/>
      <c r="J117" s="18"/>
      <c r="K117" s="18"/>
      <c r="L117" s="18"/>
      <c r="M117" s="18"/>
      <c r="N117" s="18"/>
      <c r="O117" s="20" t="str">
        <f aca="false">IF(OR(I117="",I117=0,K117=""),"",K117/I117)</f>
        <v/>
      </c>
      <c r="P117" s="16" t="str">
        <f aca="false">IF(B117="","",IF(OR(AND(K117&lt;&gt;"",K117&gt;=設定!$B$7),AND(L117&lt;&gt;"",L117&gt;=設定!$B$8),AND(O117&lt;&gt;"",O117&gt;=設定!$B$9)),"○","×"))</f>
        <v/>
      </c>
      <c r="Q117" s="19"/>
      <c r="R117" s="21" t="str">
        <f aca="false">IF(B117="","",D117&amp;"-"&amp;N(K117))</f>
        <v/>
      </c>
    </row>
    <row r="118" customFormat="false" ht="15" hidden="false" customHeight="false" outlineLevel="0" collapsed="false">
      <c r="A118" s="16" t="n">
        <v>113</v>
      </c>
      <c r="B118" s="17"/>
      <c r="C118" s="16" t="str">
        <f aca="false">IF(B118="","",CHOOSE(WEEKDAY(B118),"日","月","火","水","木","金","土"))</f>
        <v/>
      </c>
      <c r="D118" s="16" t="str">
        <f aca="false">IF(B118="","",INT((B118-設定!$B$6)/7)+1)</f>
        <v/>
      </c>
      <c r="E118" s="18"/>
      <c r="F118" s="18"/>
      <c r="G118" s="19"/>
      <c r="H118" s="19"/>
      <c r="I118" s="18"/>
      <c r="J118" s="18"/>
      <c r="K118" s="18"/>
      <c r="L118" s="18"/>
      <c r="M118" s="18"/>
      <c r="N118" s="18"/>
      <c r="O118" s="20" t="str">
        <f aca="false">IF(OR(I118="",I118=0,K118=""),"",K118/I118)</f>
        <v/>
      </c>
      <c r="P118" s="16" t="str">
        <f aca="false">IF(B118="","",IF(OR(AND(K118&lt;&gt;"",K118&gt;=設定!$B$7),AND(L118&lt;&gt;"",L118&gt;=設定!$B$8),AND(O118&lt;&gt;"",O118&gt;=設定!$B$9)),"○","×"))</f>
        <v/>
      </c>
      <c r="Q118" s="19"/>
      <c r="R118" s="21" t="str">
        <f aca="false">IF(B118="","",D118&amp;"-"&amp;N(K118))</f>
        <v/>
      </c>
    </row>
    <row r="119" customFormat="false" ht="15" hidden="false" customHeight="false" outlineLevel="0" collapsed="false">
      <c r="A119" s="16" t="n">
        <v>114</v>
      </c>
      <c r="B119" s="17"/>
      <c r="C119" s="16" t="str">
        <f aca="false">IF(B119="","",CHOOSE(WEEKDAY(B119),"日","月","火","水","木","金","土"))</f>
        <v/>
      </c>
      <c r="D119" s="16" t="str">
        <f aca="false">IF(B119="","",INT((B119-設定!$B$6)/7)+1)</f>
        <v/>
      </c>
      <c r="E119" s="18"/>
      <c r="F119" s="18"/>
      <c r="G119" s="19"/>
      <c r="H119" s="19"/>
      <c r="I119" s="18"/>
      <c r="J119" s="18"/>
      <c r="K119" s="18"/>
      <c r="L119" s="18"/>
      <c r="M119" s="18"/>
      <c r="N119" s="18"/>
      <c r="O119" s="20" t="str">
        <f aca="false">IF(OR(I119="",I119=0,K119=""),"",K119/I119)</f>
        <v/>
      </c>
      <c r="P119" s="16" t="str">
        <f aca="false">IF(B119="","",IF(OR(AND(K119&lt;&gt;"",K119&gt;=設定!$B$7),AND(L119&lt;&gt;"",L119&gt;=設定!$B$8),AND(O119&lt;&gt;"",O119&gt;=設定!$B$9)),"○","×"))</f>
        <v/>
      </c>
      <c r="Q119" s="19"/>
      <c r="R119" s="21" t="str">
        <f aca="false">IF(B119="","",D119&amp;"-"&amp;N(K119))</f>
        <v/>
      </c>
    </row>
    <row r="120" customFormat="false" ht="15" hidden="false" customHeight="false" outlineLevel="0" collapsed="false">
      <c r="A120" s="16" t="n">
        <v>115</v>
      </c>
      <c r="B120" s="17"/>
      <c r="C120" s="16" t="str">
        <f aca="false">IF(B120="","",CHOOSE(WEEKDAY(B120),"日","月","火","水","木","金","土"))</f>
        <v/>
      </c>
      <c r="D120" s="16" t="str">
        <f aca="false">IF(B120="","",INT((B120-設定!$B$6)/7)+1)</f>
        <v/>
      </c>
      <c r="E120" s="18"/>
      <c r="F120" s="18"/>
      <c r="G120" s="19"/>
      <c r="H120" s="19"/>
      <c r="I120" s="18"/>
      <c r="J120" s="18"/>
      <c r="K120" s="18"/>
      <c r="L120" s="18"/>
      <c r="M120" s="18"/>
      <c r="N120" s="18"/>
      <c r="O120" s="20" t="str">
        <f aca="false">IF(OR(I120="",I120=0,K120=""),"",K120/I120)</f>
        <v/>
      </c>
      <c r="P120" s="16" t="str">
        <f aca="false">IF(B120="","",IF(OR(AND(K120&lt;&gt;"",K120&gt;=設定!$B$7),AND(L120&lt;&gt;"",L120&gt;=設定!$B$8),AND(O120&lt;&gt;"",O120&gt;=設定!$B$9)),"○","×"))</f>
        <v/>
      </c>
      <c r="Q120" s="19"/>
      <c r="R120" s="21" t="str">
        <f aca="false">IF(B120="","",D120&amp;"-"&amp;N(K120))</f>
        <v/>
      </c>
    </row>
    <row r="121" customFormat="false" ht="15" hidden="false" customHeight="false" outlineLevel="0" collapsed="false">
      <c r="A121" s="16" t="n">
        <v>116</v>
      </c>
      <c r="B121" s="17"/>
      <c r="C121" s="16" t="str">
        <f aca="false">IF(B121="","",CHOOSE(WEEKDAY(B121),"日","月","火","水","木","金","土"))</f>
        <v/>
      </c>
      <c r="D121" s="16" t="str">
        <f aca="false">IF(B121="","",INT((B121-設定!$B$6)/7)+1)</f>
        <v/>
      </c>
      <c r="E121" s="18"/>
      <c r="F121" s="18"/>
      <c r="G121" s="19"/>
      <c r="H121" s="19"/>
      <c r="I121" s="18"/>
      <c r="J121" s="18"/>
      <c r="K121" s="18"/>
      <c r="L121" s="18"/>
      <c r="M121" s="18"/>
      <c r="N121" s="18"/>
      <c r="O121" s="20" t="str">
        <f aca="false">IF(OR(I121="",I121=0,K121=""),"",K121/I121)</f>
        <v/>
      </c>
      <c r="P121" s="16" t="str">
        <f aca="false">IF(B121="","",IF(OR(AND(K121&lt;&gt;"",K121&gt;=設定!$B$7),AND(L121&lt;&gt;"",L121&gt;=設定!$B$8),AND(O121&lt;&gt;"",O121&gt;=設定!$B$9)),"○","×"))</f>
        <v/>
      </c>
      <c r="Q121" s="19"/>
      <c r="R121" s="21" t="str">
        <f aca="false">IF(B121="","",D121&amp;"-"&amp;N(K121))</f>
        <v/>
      </c>
    </row>
    <row r="122" customFormat="false" ht="15" hidden="false" customHeight="false" outlineLevel="0" collapsed="false">
      <c r="A122" s="16" t="n">
        <v>117</v>
      </c>
      <c r="B122" s="17"/>
      <c r="C122" s="16" t="str">
        <f aca="false">IF(B122="","",CHOOSE(WEEKDAY(B122),"日","月","火","水","木","金","土"))</f>
        <v/>
      </c>
      <c r="D122" s="16" t="str">
        <f aca="false">IF(B122="","",INT((B122-設定!$B$6)/7)+1)</f>
        <v/>
      </c>
      <c r="E122" s="18"/>
      <c r="F122" s="18"/>
      <c r="G122" s="19"/>
      <c r="H122" s="19"/>
      <c r="I122" s="18"/>
      <c r="J122" s="18"/>
      <c r="K122" s="18"/>
      <c r="L122" s="18"/>
      <c r="M122" s="18"/>
      <c r="N122" s="18"/>
      <c r="O122" s="20" t="str">
        <f aca="false">IF(OR(I122="",I122=0,K122=""),"",K122/I122)</f>
        <v/>
      </c>
      <c r="P122" s="16" t="str">
        <f aca="false">IF(B122="","",IF(OR(AND(K122&lt;&gt;"",K122&gt;=設定!$B$7),AND(L122&lt;&gt;"",L122&gt;=設定!$B$8),AND(O122&lt;&gt;"",O122&gt;=設定!$B$9)),"○","×"))</f>
        <v/>
      </c>
      <c r="Q122" s="19"/>
      <c r="R122" s="21" t="str">
        <f aca="false">IF(B122="","",D122&amp;"-"&amp;N(K122))</f>
        <v/>
      </c>
    </row>
    <row r="123" customFormat="false" ht="15" hidden="false" customHeight="false" outlineLevel="0" collapsed="false">
      <c r="A123" s="16" t="n">
        <v>118</v>
      </c>
      <c r="B123" s="17"/>
      <c r="C123" s="16" t="str">
        <f aca="false">IF(B123="","",CHOOSE(WEEKDAY(B123),"日","月","火","水","木","金","土"))</f>
        <v/>
      </c>
      <c r="D123" s="16" t="str">
        <f aca="false">IF(B123="","",INT((B123-設定!$B$6)/7)+1)</f>
        <v/>
      </c>
      <c r="E123" s="18"/>
      <c r="F123" s="18"/>
      <c r="G123" s="19"/>
      <c r="H123" s="19"/>
      <c r="I123" s="18"/>
      <c r="J123" s="18"/>
      <c r="K123" s="18"/>
      <c r="L123" s="18"/>
      <c r="M123" s="18"/>
      <c r="N123" s="18"/>
      <c r="O123" s="20" t="str">
        <f aca="false">IF(OR(I123="",I123=0,K123=""),"",K123/I123)</f>
        <v/>
      </c>
      <c r="P123" s="16" t="str">
        <f aca="false">IF(B123="","",IF(OR(AND(K123&lt;&gt;"",K123&gt;=設定!$B$7),AND(L123&lt;&gt;"",L123&gt;=設定!$B$8),AND(O123&lt;&gt;"",O123&gt;=設定!$B$9)),"○","×"))</f>
        <v/>
      </c>
      <c r="Q123" s="19"/>
      <c r="R123" s="21" t="str">
        <f aca="false">IF(B123="","",D123&amp;"-"&amp;N(K123))</f>
        <v/>
      </c>
    </row>
    <row r="124" customFormat="false" ht="15" hidden="false" customHeight="false" outlineLevel="0" collapsed="false">
      <c r="A124" s="16" t="n">
        <v>119</v>
      </c>
      <c r="B124" s="17"/>
      <c r="C124" s="16" t="str">
        <f aca="false">IF(B124="","",CHOOSE(WEEKDAY(B124),"日","月","火","水","木","金","土"))</f>
        <v/>
      </c>
      <c r="D124" s="16" t="str">
        <f aca="false">IF(B124="","",INT((B124-設定!$B$6)/7)+1)</f>
        <v/>
      </c>
      <c r="E124" s="18"/>
      <c r="F124" s="18"/>
      <c r="G124" s="19"/>
      <c r="H124" s="19"/>
      <c r="I124" s="18"/>
      <c r="J124" s="18"/>
      <c r="K124" s="18"/>
      <c r="L124" s="18"/>
      <c r="M124" s="18"/>
      <c r="N124" s="18"/>
      <c r="O124" s="20" t="str">
        <f aca="false">IF(OR(I124="",I124=0,K124=""),"",K124/I124)</f>
        <v/>
      </c>
      <c r="P124" s="16" t="str">
        <f aca="false">IF(B124="","",IF(OR(AND(K124&lt;&gt;"",K124&gt;=設定!$B$7),AND(L124&lt;&gt;"",L124&gt;=設定!$B$8),AND(O124&lt;&gt;"",O124&gt;=設定!$B$9)),"○","×"))</f>
        <v/>
      </c>
      <c r="Q124" s="19"/>
      <c r="R124" s="21" t="str">
        <f aca="false">IF(B124="","",D124&amp;"-"&amp;N(K124))</f>
        <v/>
      </c>
    </row>
    <row r="125" customFormat="false" ht="15" hidden="false" customHeight="false" outlineLevel="0" collapsed="false">
      <c r="A125" s="16" t="n">
        <v>120</v>
      </c>
      <c r="B125" s="17"/>
      <c r="C125" s="16" t="str">
        <f aca="false">IF(B125="","",CHOOSE(WEEKDAY(B125),"日","月","火","水","木","金","土"))</f>
        <v/>
      </c>
      <c r="D125" s="16" t="str">
        <f aca="false">IF(B125="","",INT((B125-設定!$B$6)/7)+1)</f>
        <v/>
      </c>
      <c r="E125" s="18"/>
      <c r="F125" s="18"/>
      <c r="G125" s="19"/>
      <c r="H125" s="19"/>
      <c r="I125" s="18"/>
      <c r="J125" s="18"/>
      <c r="K125" s="18"/>
      <c r="L125" s="18"/>
      <c r="M125" s="18"/>
      <c r="N125" s="18"/>
      <c r="O125" s="20" t="str">
        <f aca="false">IF(OR(I125="",I125=0,K125=""),"",K125/I125)</f>
        <v/>
      </c>
      <c r="P125" s="16" t="str">
        <f aca="false">IF(B125="","",IF(OR(AND(K125&lt;&gt;"",K125&gt;=設定!$B$7),AND(L125&lt;&gt;"",L125&gt;=設定!$B$8),AND(O125&lt;&gt;"",O125&gt;=設定!$B$9)),"○","×"))</f>
        <v/>
      </c>
      <c r="Q125" s="19"/>
      <c r="R125" s="21" t="str">
        <f aca="false">IF(B125="","",D125&amp;"-"&amp;N(K125))</f>
        <v/>
      </c>
    </row>
    <row r="126" customFormat="false" ht="15" hidden="false" customHeight="false" outlineLevel="0" collapsed="false">
      <c r="A126" s="16" t="n">
        <v>121</v>
      </c>
      <c r="B126" s="17"/>
      <c r="C126" s="16" t="str">
        <f aca="false">IF(B126="","",CHOOSE(WEEKDAY(B126),"日","月","火","水","木","金","土"))</f>
        <v/>
      </c>
      <c r="D126" s="16" t="str">
        <f aca="false">IF(B126="","",INT((B126-設定!$B$6)/7)+1)</f>
        <v/>
      </c>
      <c r="E126" s="18"/>
      <c r="F126" s="18"/>
      <c r="G126" s="19"/>
      <c r="H126" s="19"/>
      <c r="I126" s="18"/>
      <c r="J126" s="18"/>
      <c r="K126" s="18"/>
      <c r="L126" s="18"/>
      <c r="M126" s="18"/>
      <c r="N126" s="18"/>
      <c r="O126" s="20" t="str">
        <f aca="false">IF(OR(I126="",I126=0,K126=""),"",K126/I126)</f>
        <v/>
      </c>
      <c r="P126" s="16" t="str">
        <f aca="false">IF(B126="","",IF(OR(AND(K126&lt;&gt;"",K126&gt;=設定!$B$7),AND(L126&lt;&gt;"",L126&gt;=設定!$B$8),AND(O126&lt;&gt;"",O126&gt;=設定!$B$9)),"○","×"))</f>
        <v/>
      </c>
      <c r="Q126" s="19"/>
      <c r="R126" s="21" t="str">
        <f aca="false">IF(B126="","",D126&amp;"-"&amp;N(K126))</f>
        <v/>
      </c>
    </row>
    <row r="127" customFormat="false" ht="15" hidden="false" customHeight="false" outlineLevel="0" collapsed="false">
      <c r="A127" s="16" t="n">
        <v>122</v>
      </c>
      <c r="B127" s="17"/>
      <c r="C127" s="16" t="str">
        <f aca="false">IF(B127="","",CHOOSE(WEEKDAY(B127),"日","月","火","水","木","金","土"))</f>
        <v/>
      </c>
      <c r="D127" s="16" t="str">
        <f aca="false">IF(B127="","",INT((B127-設定!$B$6)/7)+1)</f>
        <v/>
      </c>
      <c r="E127" s="18"/>
      <c r="F127" s="18"/>
      <c r="G127" s="19"/>
      <c r="H127" s="19"/>
      <c r="I127" s="18"/>
      <c r="J127" s="18"/>
      <c r="K127" s="18"/>
      <c r="L127" s="18"/>
      <c r="M127" s="18"/>
      <c r="N127" s="18"/>
      <c r="O127" s="20" t="str">
        <f aca="false">IF(OR(I127="",I127=0,K127=""),"",K127/I127)</f>
        <v/>
      </c>
      <c r="P127" s="16" t="str">
        <f aca="false">IF(B127="","",IF(OR(AND(K127&lt;&gt;"",K127&gt;=設定!$B$7),AND(L127&lt;&gt;"",L127&gt;=設定!$B$8),AND(O127&lt;&gt;"",O127&gt;=設定!$B$9)),"○","×"))</f>
        <v/>
      </c>
      <c r="Q127" s="19"/>
      <c r="R127" s="21" t="str">
        <f aca="false">IF(B127="","",D127&amp;"-"&amp;N(K127))</f>
        <v/>
      </c>
    </row>
    <row r="128" customFormat="false" ht="15" hidden="false" customHeight="false" outlineLevel="0" collapsed="false">
      <c r="A128" s="16" t="n">
        <v>123</v>
      </c>
      <c r="B128" s="17"/>
      <c r="C128" s="16" t="str">
        <f aca="false">IF(B128="","",CHOOSE(WEEKDAY(B128),"日","月","火","水","木","金","土"))</f>
        <v/>
      </c>
      <c r="D128" s="16" t="str">
        <f aca="false">IF(B128="","",INT((B128-設定!$B$6)/7)+1)</f>
        <v/>
      </c>
      <c r="E128" s="18"/>
      <c r="F128" s="18"/>
      <c r="G128" s="19"/>
      <c r="H128" s="19"/>
      <c r="I128" s="18"/>
      <c r="J128" s="18"/>
      <c r="K128" s="18"/>
      <c r="L128" s="18"/>
      <c r="M128" s="18"/>
      <c r="N128" s="18"/>
      <c r="O128" s="20" t="str">
        <f aca="false">IF(OR(I128="",I128=0,K128=""),"",K128/I128)</f>
        <v/>
      </c>
      <c r="P128" s="16" t="str">
        <f aca="false">IF(B128="","",IF(OR(AND(K128&lt;&gt;"",K128&gt;=設定!$B$7),AND(L128&lt;&gt;"",L128&gt;=設定!$B$8),AND(O128&lt;&gt;"",O128&gt;=設定!$B$9)),"○","×"))</f>
        <v/>
      </c>
      <c r="Q128" s="19"/>
      <c r="R128" s="21" t="str">
        <f aca="false">IF(B128="","",D128&amp;"-"&amp;N(K128))</f>
        <v/>
      </c>
    </row>
    <row r="129" customFormat="false" ht="15" hidden="false" customHeight="false" outlineLevel="0" collapsed="false">
      <c r="A129" s="16" t="n">
        <v>124</v>
      </c>
      <c r="B129" s="17"/>
      <c r="C129" s="16" t="str">
        <f aca="false">IF(B129="","",CHOOSE(WEEKDAY(B129),"日","月","火","水","木","金","土"))</f>
        <v/>
      </c>
      <c r="D129" s="16" t="str">
        <f aca="false">IF(B129="","",INT((B129-設定!$B$6)/7)+1)</f>
        <v/>
      </c>
      <c r="E129" s="18"/>
      <c r="F129" s="18"/>
      <c r="G129" s="19"/>
      <c r="H129" s="19"/>
      <c r="I129" s="18"/>
      <c r="J129" s="18"/>
      <c r="K129" s="18"/>
      <c r="L129" s="18"/>
      <c r="M129" s="18"/>
      <c r="N129" s="18"/>
      <c r="O129" s="20" t="str">
        <f aca="false">IF(OR(I129="",I129=0,K129=""),"",K129/I129)</f>
        <v/>
      </c>
      <c r="P129" s="16" t="str">
        <f aca="false">IF(B129="","",IF(OR(AND(K129&lt;&gt;"",K129&gt;=設定!$B$7),AND(L129&lt;&gt;"",L129&gt;=設定!$B$8),AND(O129&lt;&gt;"",O129&gt;=設定!$B$9)),"○","×"))</f>
        <v/>
      </c>
      <c r="Q129" s="19"/>
      <c r="R129" s="21" t="str">
        <f aca="false">IF(B129="","",D129&amp;"-"&amp;N(K129))</f>
        <v/>
      </c>
    </row>
    <row r="130" customFormat="false" ht="15" hidden="false" customHeight="false" outlineLevel="0" collapsed="false">
      <c r="A130" s="16" t="n">
        <v>125</v>
      </c>
      <c r="B130" s="17"/>
      <c r="C130" s="16" t="str">
        <f aca="false">IF(B130="","",CHOOSE(WEEKDAY(B130),"日","月","火","水","木","金","土"))</f>
        <v/>
      </c>
      <c r="D130" s="16" t="str">
        <f aca="false">IF(B130="","",INT((B130-設定!$B$6)/7)+1)</f>
        <v/>
      </c>
      <c r="E130" s="18"/>
      <c r="F130" s="18"/>
      <c r="G130" s="19"/>
      <c r="H130" s="19"/>
      <c r="I130" s="18"/>
      <c r="J130" s="18"/>
      <c r="K130" s="18"/>
      <c r="L130" s="18"/>
      <c r="M130" s="18"/>
      <c r="N130" s="18"/>
      <c r="O130" s="20" t="str">
        <f aca="false">IF(OR(I130="",I130=0,K130=""),"",K130/I130)</f>
        <v/>
      </c>
      <c r="P130" s="16" t="str">
        <f aca="false">IF(B130="","",IF(OR(AND(K130&lt;&gt;"",K130&gt;=設定!$B$7),AND(L130&lt;&gt;"",L130&gt;=設定!$B$8),AND(O130&lt;&gt;"",O130&gt;=設定!$B$9)),"○","×"))</f>
        <v/>
      </c>
      <c r="Q130" s="19"/>
      <c r="R130" s="21" t="str">
        <f aca="false">IF(B130="","",D130&amp;"-"&amp;N(K130))</f>
        <v/>
      </c>
    </row>
    <row r="131" customFormat="false" ht="15" hidden="false" customHeight="false" outlineLevel="0" collapsed="false">
      <c r="A131" s="16" t="n">
        <v>126</v>
      </c>
      <c r="B131" s="17"/>
      <c r="C131" s="16" t="str">
        <f aca="false">IF(B131="","",CHOOSE(WEEKDAY(B131),"日","月","火","水","木","金","土"))</f>
        <v/>
      </c>
      <c r="D131" s="16" t="str">
        <f aca="false">IF(B131="","",INT((B131-設定!$B$6)/7)+1)</f>
        <v/>
      </c>
      <c r="E131" s="18"/>
      <c r="F131" s="18"/>
      <c r="G131" s="19"/>
      <c r="H131" s="19"/>
      <c r="I131" s="18"/>
      <c r="J131" s="18"/>
      <c r="K131" s="18"/>
      <c r="L131" s="18"/>
      <c r="M131" s="18"/>
      <c r="N131" s="18"/>
      <c r="O131" s="20" t="str">
        <f aca="false">IF(OR(I131="",I131=0,K131=""),"",K131/I131)</f>
        <v/>
      </c>
      <c r="P131" s="16" t="str">
        <f aca="false">IF(B131="","",IF(OR(AND(K131&lt;&gt;"",K131&gt;=設定!$B$7),AND(L131&lt;&gt;"",L131&gt;=設定!$B$8),AND(O131&lt;&gt;"",O131&gt;=設定!$B$9)),"○","×"))</f>
        <v/>
      </c>
      <c r="Q131" s="19"/>
      <c r="R131" s="21" t="str">
        <f aca="false">IF(B131="","",D131&amp;"-"&amp;N(K131))</f>
        <v/>
      </c>
    </row>
    <row r="132" customFormat="false" ht="15" hidden="false" customHeight="false" outlineLevel="0" collapsed="false">
      <c r="A132" s="16" t="n">
        <v>127</v>
      </c>
      <c r="B132" s="17"/>
      <c r="C132" s="16" t="str">
        <f aca="false">IF(B132="","",CHOOSE(WEEKDAY(B132),"日","月","火","水","木","金","土"))</f>
        <v/>
      </c>
      <c r="D132" s="16" t="str">
        <f aca="false">IF(B132="","",INT((B132-設定!$B$6)/7)+1)</f>
        <v/>
      </c>
      <c r="E132" s="18"/>
      <c r="F132" s="18"/>
      <c r="G132" s="19"/>
      <c r="H132" s="19"/>
      <c r="I132" s="18"/>
      <c r="J132" s="18"/>
      <c r="K132" s="18"/>
      <c r="L132" s="18"/>
      <c r="M132" s="18"/>
      <c r="N132" s="18"/>
      <c r="O132" s="20" t="str">
        <f aca="false">IF(OR(I132="",I132=0,K132=""),"",K132/I132)</f>
        <v/>
      </c>
      <c r="P132" s="16" t="str">
        <f aca="false">IF(B132="","",IF(OR(AND(K132&lt;&gt;"",K132&gt;=設定!$B$7),AND(L132&lt;&gt;"",L132&gt;=設定!$B$8),AND(O132&lt;&gt;"",O132&gt;=設定!$B$9)),"○","×"))</f>
        <v/>
      </c>
      <c r="Q132" s="19"/>
      <c r="R132" s="21" t="str">
        <f aca="false">IF(B132="","",D132&amp;"-"&amp;N(K132))</f>
        <v/>
      </c>
    </row>
    <row r="133" customFormat="false" ht="15" hidden="false" customHeight="false" outlineLevel="0" collapsed="false">
      <c r="A133" s="16" t="n">
        <v>128</v>
      </c>
      <c r="B133" s="17"/>
      <c r="C133" s="16" t="str">
        <f aca="false">IF(B133="","",CHOOSE(WEEKDAY(B133),"日","月","火","水","木","金","土"))</f>
        <v/>
      </c>
      <c r="D133" s="16" t="str">
        <f aca="false">IF(B133="","",INT((B133-設定!$B$6)/7)+1)</f>
        <v/>
      </c>
      <c r="E133" s="18"/>
      <c r="F133" s="18"/>
      <c r="G133" s="19"/>
      <c r="H133" s="19"/>
      <c r="I133" s="18"/>
      <c r="J133" s="18"/>
      <c r="K133" s="18"/>
      <c r="L133" s="18"/>
      <c r="M133" s="18"/>
      <c r="N133" s="18"/>
      <c r="O133" s="20" t="str">
        <f aca="false">IF(OR(I133="",I133=0,K133=""),"",K133/I133)</f>
        <v/>
      </c>
      <c r="P133" s="16" t="str">
        <f aca="false">IF(B133="","",IF(OR(AND(K133&lt;&gt;"",K133&gt;=設定!$B$7),AND(L133&lt;&gt;"",L133&gt;=設定!$B$8),AND(O133&lt;&gt;"",O133&gt;=設定!$B$9)),"○","×"))</f>
        <v/>
      </c>
      <c r="Q133" s="19"/>
      <c r="R133" s="21" t="str">
        <f aca="false">IF(B133="","",D133&amp;"-"&amp;N(K133))</f>
        <v/>
      </c>
    </row>
    <row r="134" customFormat="false" ht="15" hidden="false" customHeight="false" outlineLevel="0" collapsed="false">
      <c r="A134" s="16" t="n">
        <v>129</v>
      </c>
      <c r="B134" s="17"/>
      <c r="C134" s="16" t="str">
        <f aca="false">IF(B134="","",CHOOSE(WEEKDAY(B134),"日","月","火","水","木","金","土"))</f>
        <v/>
      </c>
      <c r="D134" s="16" t="str">
        <f aca="false">IF(B134="","",INT((B134-設定!$B$6)/7)+1)</f>
        <v/>
      </c>
      <c r="E134" s="18"/>
      <c r="F134" s="18"/>
      <c r="G134" s="19"/>
      <c r="H134" s="19"/>
      <c r="I134" s="18"/>
      <c r="J134" s="18"/>
      <c r="K134" s="18"/>
      <c r="L134" s="18"/>
      <c r="M134" s="18"/>
      <c r="N134" s="18"/>
      <c r="O134" s="20" t="str">
        <f aca="false">IF(OR(I134="",I134=0,K134=""),"",K134/I134)</f>
        <v/>
      </c>
      <c r="P134" s="16" t="str">
        <f aca="false">IF(B134="","",IF(OR(AND(K134&lt;&gt;"",K134&gt;=設定!$B$7),AND(L134&lt;&gt;"",L134&gt;=設定!$B$8),AND(O134&lt;&gt;"",O134&gt;=設定!$B$9)),"○","×"))</f>
        <v/>
      </c>
      <c r="Q134" s="19"/>
      <c r="R134" s="21" t="str">
        <f aca="false">IF(B134="","",D134&amp;"-"&amp;N(K134))</f>
        <v/>
      </c>
    </row>
    <row r="135" customFormat="false" ht="15" hidden="false" customHeight="false" outlineLevel="0" collapsed="false">
      <c r="A135" s="16" t="n">
        <v>130</v>
      </c>
      <c r="B135" s="17"/>
      <c r="C135" s="16" t="str">
        <f aca="false">IF(B135="","",CHOOSE(WEEKDAY(B135),"日","月","火","水","木","金","土"))</f>
        <v/>
      </c>
      <c r="D135" s="16" t="str">
        <f aca="false">IF(B135="","",INT((B135-設定!$B$6)/7)+1)</f>
        <v/>
      </c>
      <c r="E135" s="18"/>
      <c r="F135" s="18"/>
      <c r="G135" s="19"/>
      <c r="H135" s="19"/>
      <c r="I135" s="18"/>
      <c r="J135" s="18"/>
      <c r="K135" s="18"/>
      <c r="L135" s="18"/>
      <c r="M135" s="18"/>
      <c r="N135" s="18"/>
      <c r="O135" s="20" t="str">
        <f aca="false">IF(OR(I135="",I135=0,K135=""),"",K135/I135)</f>
        <v/>
      </c>
      <c r="P135" s="16" t="str">
        <f aca="false">IF(B135="","",IF(OR(AND(K135&lt;&gt;"",K135&gt;=設定!$B$7),AND(L135&lt;&gt;"",L135&gt;=設定!$B$8),AND(O135&lt;&gt;"",O135&gt;=設定!$B$9)),"○","×"))</f>
        <v/>
      </c>
      <c r="Q135" s="19"/>
      <c r="R135" s="21" t="str">
        <f aca="false">IF(B135="","",D135&amp;"-"&amp;N(K135))</f>
        <v/>
      </c>
    </row>
    <row r="136" customFormat="false" ht="15" hidden="false" customHeight="false" outlineLevel="0" collapsed="false">
      <c r="A136" s="16" t="n">
        <v>131</v>
      </c>
      <c r="B136" s="17"/>
      <c r="C136" s="16" t="str">
        <f aca="false">IF(B136="","",CHOOSE(WEEKDAY(B136),"日","月","火","水","木","金","土"))</f>
        <v/>
      </c>
      <c r="D136" s="16" t="str">
        <f aca="false">IF(B136="","",INT((B136-設定!$B$6)/7)+1)</f>
        <v/>
      </c>
      <c r="E136" s="18"/>
      <c r="F136" s="18"/>
      <c r="G136" s="19"/>
      <c r="H136" s="19"/>
      <c r="I136" s="18"/>
      <c r="J136" s="18"/>
      <c r="K136" s="18"/>
      <c r="L136" s="18"/>
      <c r="M136" s="18"/>
      <c r="N136" s="18"/>
      <c r="O136" s="20" t="str">
        <f aca="false">IF(OR(I136="",I136=0,K136=""),"",K136/I136)</f>
        <v/>
      </c>
      <c r="P136" s="16" t="str">
        <f aca="false">IF(B136="","",IF(OR(AND(K136&lt;&gt;"",K136&gt;=設定!$B$7),AND(L136&lt;&gt;"",L136&gt;=設定!$B$8),AND(O136&lt;&gt;"",O136&gt;=設定!$B$9)),"○","×"))</f>
        <v/>
      </c>
      <c r="Q136" s="19"/>
      <c r="R136" s="21" t="str">
        <f aca="false">IF(B136="","",D136&amp;"-"&amp;N(K136))</f>
        <v/>
      </c>
    </row>
    <row r="137" customFormat="false" ht="15" hidden="false" customHeight="false" outlineLevel="0" collapsed="false">
      <c r="A137" s="16" t="n">
        <v>132</v>
      </c>
      <c r="B137" s="17"/>
      <c r="C137" s="16" t="str">
        <f aca="false">IF(B137="","",CHOOSE(WEEKDAY(B137),"日","月","火","水","木","金","土"))</f>
        <v/>
      </c>
      <c r="D137" s="16" t="str">
        <f aca="false">IF(B137="","",INT((B137-設定!$B$6)/7)+1)</f>
        <v/>
      </c>
      <c r="E137" s="18"/>
      <c r="F137" s="18"/>
      <c r="G137" s="19"/>
      <c r="H137" s="19"/>
      <c r="I137" s="18"/>
      <c r="J137" s="18"/>
      <c r="K137" s="18"/>
      <c r="L137" s="18"/>
      <c r="M137" s="18"/>
      <c r="N137" s="18"/>
      <c r="O137" s="20" t="str">
        <f aca="false">IF(OR(I137="",I137=0,K137=""),"",K137/I137)</f>
        <v/>
      </c>
      <c r="P137" s="16" t="str">
        <f aca="false">IF(B137="","",IF(OR(AND(K137&lt;&gt;"",K137&gt;=設定!$B$7),AND(L137&lt;&gt;"",L137&gt;=設定!$B$8),AND(O137&lt;&gt;"",O137&gt;=設定!$B$9)),"○","×"))</f>
        <v/>
      </c>
      <c r="Q137" s="19"/>
      <c r="R137" s="21" t="str">
        <f aca="false">IF(B137="","",D137&amp;"-"&amp;N(K137))</f>
        <v/>
      </c>
    </row>
    <row r="138" customFormat="false" ht="15" hidden="false" customHeight="false" outlineLevel="0" collapsed="false">
      <c r="A138" s="16" t="n">
        <v>133</v>
      </c>
      <c r="B138" s="17"/>
      <c r="C138" s="16" t="str">
        <f aca="false">IF(B138="","",CHOOSE(WEEKDAY(B138),"日","月","火","水","木","金","土"))</f>
        <v/>
      </c>
      <c r="D138" s="16" t="str">
        <f aca="false">IF(B138="","",INT((B138-設定!$B$6)/7)+1)</f>
        <v/>
      </c>
      <c r="E138" s="18"/>
      <c r="F138" s="18"/>
      <c r="G138" s="19"/>
      <c r="H138" s="19"/>
      <c r="I138" s="18"/>
      <c r="J138" s="18"/>
      <c r="K138" s="18"/>
      <c r="L138" s="18"/>
      <c r="M138" s="18"/>
      <c r="N138" s="18"/>
      <c r="O138" s="20" t="str">
        <f aca="false">IF(OR(I138="",I138=0,K138=""),"",K138/I138)</f>
        <v/>
      </c>
      <c r="P138" s="16" t="str">
        <f aca="false">IF(B138="","",IF(OR(AND(K138&lt;&gt;"",K138&gt;=設定!$B$7),AND(L138&lt;&gt;"",L138&gt;=設定!$B$8),AND(O138&lt;&gt;"",O138&gt;=設定!$B$9)),"○","×"))</f>
        <v/>
      </c>
      <c r="Q138" s="19"/>
      <c r="R138" s="21" t="str">
        <f aca="false">IF(B138="","",D138&amp;"-"&amp;N(K138))</f>
        <v/>
      </c>
    </row>
    <row r="139" customFormat="false" ht="15" hidden="false" customHeight="false" outlineLevel="0" collapsed="false">
      <c r="A139" s="16" t="n">
        <v>134</v>
      </c>
      <c r="B139" s="17"/>
      <c r="C139" s="16" t="str">
        <f aca="false">IF(B139="","",CHOOSE(WEEKDAY(B139),"日","月","火","水","木","金","土"))</f>
        <v/>
      </c>
      <c r="D139" s="16" t="str">
        <f aca="false">IF(B139="","",INT((B139-設定!$B$6)/7)+1)</f>
        <v/>
      </c>
      <c r="E139" s="18"/>
      <c r="F139" s="18"/>
      <c r="G139" s="19"/>
      <c r="H139" s="19"/>
      <c r="I139" s="18"/>
      <c r="J139" s="18"/>
      <c r="K139" s="18"/>
      <c r="L139" s="18"/>
      <c r="M139" s="18"/>
      <c r="N139" s="18"/>
      <c r="O139" s="20" t="str">
        <f aca="false">IF(OR(I139="",I139=0,K139=""),"",K139/I139)</f>
        <v/>
      </c>
      <c r="P139" s="16" t="str">
        <f aca="false">IF(B139="","",IF(OR(AND(K139&lt;&gt;"",K139&gt;=設定!$B$7),AND(L139&lt;&gt;"",L139&gt;=設定!$B$8),AND(O139&lt;&gt;"",O139&gt;=設定!$B$9)),"○","×"))</f>
        <v/>
      </c>
      <c r="Q139" s="19"/>
      <c r="R139" s="21" t="str">
        <f aca="false">IF(B139="","",D139&amp;"-"&amp;N(K139))</f>
        <v/>
      </c>
    </row>
    <row r="140" customFormat="false" ht="15" hidden="false" customHeight="false" outlineLevel="0" collapsed="false">
      <c r="A140" s="16" t="n">
        <v>135</v>
      </c>
      <c r="B140" s="17"/>
      <c r="C140" s="16" t="str">
        <f aca="false">IF(B140="","",CHOOSE(WEEKDAY(B140),"日","月","火","水","木","金","土"))</f>
        <v/>
      </c>
      <c r="D140" s="16" t="str">
        <f aca="false">IF(B140="","",INT((B140-設定!$B$6)/7)+1)</f>
        <v/>
      </c>
      <c r="E140" s="18"/>
      <c r="F140" s="18"/>
      <c r="G140" s="19"/>
      <c r="H140" s="19"/>
      <c r="I140" s="18"/>
      <c r="J140" s="18"/>
      <c r="K140" s="18"/>
      <c r="L140" s="18"/>
      <c r="M140" s="18"/>
      <c r="N140" s="18"/>
      <c r="O140" s="20" t="str">
        <f aca="false">IF(OR(I140="",I140=0,K140=""),"",K140/I140)</f>
        <v/>
      </c>
      <c r="P140" s="16" t="str">
        <f aca="false">IF(B140="","",IF(OR(AND(K140&lt;&gt;"",K140&gt;=設定!$B$7),AND(L140&lt;&gt;"",L140&gt;=設定!$B$8),AND(O140&lt;&gt;"",O140&gt;=設定!$B$9)),"○","×"))</f>
        <v/>
      </c>
      <c r="Q140" s="19"/>
      <c r="R140" s="21" t="str">
        <f aca="false">IF(B140="","",D140&amp;"-"&amp;N(K140))</f>
        <v/>
      </c>
    </row>
    <row r="141" customFormat="false" ht="15" hidden="false" customHeight="false" outlineLevel="0" collapsed="false">
      <c r="A141" s="16" t="n">
        <v>136</v>
      </c>
      <c r="B141" s="17"/>
      <c r="C141" s="16" t="str">
        <f aca="false">IF(B141="","",CHOOSE(WEEKDAY(B141),"日","月","火","水","木","金","土"))</f>
        <v/>
      </c>
      <c r="D141" s="16" t="str">
        <f aca="false">IF(B141="","",INT((B141-設定!$B$6)/7)+1)</f>
        <v/>
      </c>
      <c r="E141" s="18"/>
      <c r="F141" s="18"/>
      <c r="G141" s="19"/>
      <c r="H141" s="19"/>
      <c r="I141" s="18"/>
      <c r="J141" s="18"/>
      <c r="K141" s="18"/>
      <c r="L141" s="18"/>
      <c r="M141" s="18"/>
      <c r="N141" s="18"/>
      <c r="O141" s="20" t="str">
        <f aca="false">IF(OR(I141="",I141=0,K141=""),"",K141/I141)</f>
        <v/>
      </c>
      <c r="P141" s="16" t="str">
        <f aca="false">IF(B141="","",IF(OR(AND(K141&lt;&gt;"",K141&gt;=設定!$B$7),AND(L141&lt;&gt;"",L141&gt;=設定!$B$8),AND(O141&lt;&gt;"",O141&gt;=設定!$B$9)),"○","×"))</f>
        <v/>
      </c>
      <c r="Q141" s="19"/>
      <c r="R141" s="21" t="str">
        <f aca="false">IF(B141="","",D141&amp;"-"&amp;N(K141))</f>
        <v/>
      </c>
    </row>
    <row r="142" customFormat="false" ht="15" hidden="false" customHeight="false" outlineLevel="0" collapsed="false">
      <c r="A142" s="16" t="n">
        <v>137</v>
      </c>
      <c r="B142" s="17"/>
      <c r="C142" s="16" t="str">
        <f aca="false">IF(B142="","",CHOOSE(WEEKDAY(B142),"日","月","火","水","木","金","土"))</f>
        <v/>
      </c>
      <c r="D142" s="16" t="str">
        <f aca="false">IF(B142="","",INT((B142-設定!$B$6)/7)+1)</f>
        <v/>
      </c>
      <c r="E142" s="18"/>
      <c r="F142" s="18"/>
      <c r="G142" s="19"/>
      <c r="H142" s="19"/>
      <c r="I142" s="18"/>
      <c r="J142" s="18"/>
      <c r="K142" s="18"/>
      <c r="L142" s="18"/>
      <c r="M142" s="18"/>
      <c r="N142" s="18"/>
      <c r="O142" s="20" t="str">
        <f aca="false">IF(OR(I142="",I142=0,K142=""),"",K142/I142)</f>
        <v/>
      </c>
      <c r="P142" s="16" t="str">
        <f aca="false">IF(B142="","",IF(OR(AND(K142&lt;&gt;"",K142&gt;=設定!$B$7),AND(L142&lt;&gt;"",L142&gt;=設定!$B$8),AND(O142&lt;&gt;"",O142&gt;=設定!$B$9)),"○","×"))</f>
        <v/>
      </c>
      <c r="Q142" s="19"/>
      <c r="R142" s="21" t="str">
        <f aca="false">IF(B142="","",D142&amp;"-"&amp;N(K142))</f>
        <v/>
      </c>
    </row>
    <row r="143" customFormat="false" ht="15" hidden="false" customHeight="false" outlineLevel="0" collapsed="false">
      <c r="A143" s="16" t="n">
        <v>138</v>
      </c>
      <c r="B143" s="17"/>
      <c r="C143" s="16" t="str">
        <f aca="false">IF(B143="","",CHOOSE(WEEKDAY(B143),"日","月","火","水","木","金","土"))</f>
        <v/>
      </c>
      <c r="D143" s="16" t="str">
        <f aca="false">IF(B143="","",INT((B143-設定!$B$6)/7)+1)</f>
        <v/>
      </c>
      <c r="E143" s="18"/>
      <c r="F143" s="18"/>
      <c r="G143" s="19"/>
      <c r="H143" s="19"/>
      <c r="I143" s="18"/>
      <c r="J143" s="18"/>
      <c r="K143" s="18"/>
      <c r="L143" s="18"/>
      <c r="M143" s="18"/>
      <c r="N143" s="18"/>
      <c r="O143" s="20" t="str">
        <f aca="false">IF(OR(I143="",I143=0,K143=""),"",K143/I143)</f>
        <v/>
      </c>
      <c r="P143" s="16" t="str">
        <f aca="false">IF(B143="","",IF(OR(AND(K143&lt;&gt;"",K143&gt;=設定!$B$7),AND(L143&lt;&gt;"",L143&gt;=設定!$B$8),AND(O143&lt;&gt;"",O143&gt;=設定!$B$9)),"○","×"))</f>
        <v/>
      </c>
      <c r="Q143" s="19"/>
      <c r="R143" s="21" t="str">
        <f aca="false">IF(B143="","",D143&amp;"-"&amp;N(K143))</f>
        <v/>
      </c>
    </row>
    <row r="144" customFormat="false" ht="15" hidden="false" customHeight="false" outlineLevel="0" collapsed="false">
      <c r="A144" s="16" t="n">
        <v>139</v>
      </c>
      <c r="B144" s="17"/>
      <c r="C144" s="16" t="str">
        <f aca="false">IF(B144="","",CHOOSE(WEEKDAY(B144),"日","月","火","水","木","金","土"))</f>
        <v/>
      </c>
      <c r="D144" s="16" t="str">
        <f aca="false">IF(B144="","",INT((B144-設定!$B$6)/7)+1)</f>
        <v/>
      </c>
      <c r="E144" s="18"/>
      <c r="F144" s="18"/>
      <c r="G144" s="19"/>
      <c r="H144" s="19"/>
      <c r="I144" s="18"/>
      <c r="J144" s="18"/>
      <c r="K144" s="18"/>
      <c r="L144" s="18"/>
      <c r="M144" s="18"/>
      <c r="N144" s="18"/>
      <c r="O144" s="20" t="str">
        <f aca="false">IF(OR(I144="",I144=0,K144=""),"",K144/I144)</f>
        <v/>
      </c>
      <c r="P144" s="16" t="str">
        <f aca="false">IF(B144="","",IF(OR(AND(K144&lt;&gt;"",K144&gt;=設定!$B$7),AND(L144&lt;&gt;"",L144&gt;=設定!$B$8),AND(O144&lt;&gt;"",O144&gt;=設定!$B$9)),"○","×"))</f>
        <v/>
      </c>
      <c r="Q144" s="19"/>
      <c r="R144" s="21" t="str">
        <f aca="false">IF(B144="","",D144&amp;"-"&amp;N(K144))</f>
        <v/>
      </c>
    </row>
    <row r="145" customFormat="false" ht="15" hidden="false" customHeight="false" outlineLevel="0" collapsed="false">
      <c r="A145" s="16" t="n">
        <v>140</v>
      </c>
      <c r="B145" s="17"/>
      <c r="C145" s="16" t="str">
        <f aca="false">IF(B145="","",CHOOSE(WEEKDAY(B145),"日","月","火","水","木","金","土"))</f>
        <v/>
      </c>
      <c r="D145" s="16" t="str">
        <f aca="false">IF(B145="","",INT((B145-設定!$B$6)/7)+1)</f>
        <v/>
      </c>
      <c r="E145" s="18"/>
      <c r="F145" s="18"/>
      <c r="G145" s="19"/>
      <c r="H145" s="19"/>
      <c r="I145" s="18"/>
      <c r="J145" s="18"/>
      <c r="K145" s="18"/>
      <c r="L145" s="18"/>
      <c r="M145" s="18"/>
      <c r="N145" s="18"/>
      <c r="O145" s="20" t="str">
        <f aca="false">IF(OR(I145="",I145=0,K145=""),"",K145/I145)</f>
        <v/>
      </c>
      <c r="P145" s="16" t="str">
        <f aca="false">IF(B145="","",IF(OR(AND(K145&lt;&gt;"",K145&gt;=設定!$B$7),AND(L145&lt;&gt;"",L145&gt;=設定!$B$8),AND(O145&lt;&gt;"",O145&gt;=設定!$B$9)),"○","×"))</f>
        <v/>
      </c>
      <c r="Q145" s="19"/>
      <c r="R145" s="21" t="str">
        <f aca="false">IF(B145="","",D145&amp;"-"&amp;N(K145))</f>
        <v/>
      </c>
    </row>
    <row r="146" customFormat="false" ht="15" hidden="false" customHeight="false" outlineLevel="0" collapsed="false">
      <c r="A146" s="16" t="n">
        <v>141</v>
      </c>
      <c r="B146" s="17"/>
      <c r="C146" s="16" t="str">
        <f aca="false">IF(B146="","",CHOOSE(WEEKDAY(B146),"日","月","火","水","木","金","土"))</f>
        <v/>
      </c>
      <c r="D146" s="16" t="str">
        <f aca="false">IF(B146="","",INT((B146-設定!$B$6)/7)+1)</f>
        <v/>
      </c>
      <c r="E146" s="18"/>
      <c r="F146" s="18"/>
      <c r="G146" s="19"/>
      <c r="H146" s="19"/>
      <c r="I146" s="18"/>
      <c r="J146" s="18"/>
      <c r="K146" s="18"/>
      <c r="L146" s="18"/>
      <c r="M146" s="18"/>
      <c r="N146" s="18"/>
      <c r="O146" s="20" t="str">
        <f aca="false">IF(OR(I146="",I146=0,K146=""),"",K146/I146)</f>
        <v/>
      </c>
      <c r="P146" s="16" t="str">
        <f aca="false">IF(B146="","",IF(OR(AND(K146&lt;&gt;"",K146&gt;=設定!$B$7),AND(L146&lt;&gt;"",L146&gt;=設定!$B$8),AND(O146&lt;&gt;"",O146&gt;=設定!$B$9)),"○","×"))</f>
        <v/>
      </c>
      <c r="Q146" s="19"/>
      <c r="R146" s="21" t="str">
        <f aca="false">IF(B146="","",D146&amp;"-"&amp;N(K146))</f>
        <v/>
      </c>
    </row>
    <row r="147" customFormat="false" ht="15" hidden="false" customHeight="false" outlineLevel="0" collapsed="false">
      <c r="A147" s="16" t="n">
        <v>142</v>
      </c>
      <c r="B147" s="17"/>
      <c r="C147" s="16" t="str">
        <f aca="false">IF(B147="","",CHOOSE(WEEKDAY(B147),"日","月","火","水","木","金","土"))</f>
        <v/>
      </c>
      <c r="D147" s="16" t="str">
        <f aca="false">IF(B147="","",INT((B147-設定!$B$6)/7)+1)</f>
        <v/>
      </c>
      <c r="E147" s="18"/>
      <c r="F147" s="18"/>
      <c r="G147" s="19"/>
      <c r="H147" s="19"/>
      <c r="I147" s="18"/>
      <c r="J147" s="18"/>
      <c r="K147" s="18"/>
      <c r="L147" s="18"/>
      <c r="M147" s="18"/>
      <c r="N147" s="18"/>
      <c r="O147" s="20" t="str">
        <f aca="false">IF(OR(I147="",I147=0,K147=""),"",K147/I147)</f>
        <v/>
      </c>
      <c r="P147" s="16" t="str">
        <f aca="false">IF(B147="","",IF(OR(AND(K147&lt;&gt;"",K147&gt;=設定!$B$7),AND(L147&lt;&gt;"",L147&gt;=設定!$B$8),AND(O147&lt;&gt;"",O147&gt;=設定!$B$9)),"○","×"))</f>
        <v/>
      </c>
      <c r="Q147" s="19"/>
      <c r="R147" s="21" t="str">
        <f aca="false">IF(B147="","",D147&amp;"-"&amp;N(K147))</f>
        <v/>
      </c>
    </row>
    <row r="148" customFormat="false" ht="15" hidden="false" customHeight="false" outlineLevel="0" collapsed="false">
      <c r="A148" s="16" t="n">
        <v>143</v>
      </c>
      <c r="B148" s="17"/>
      <c r="C148" s="16" t="str">
        <f aca="false">IF(B148="","",CHOOSE(WEEKDAY(B148),"日","月","火","水","木","金","土"))</f>
        <v/>
      </c>
      <c r="D148" s="16" t="str">
        <f aca="false">IF(B148="","",INT((B148-設定!$B$6)/7)+1)</f>
        <v/>
      </c>
      <c r="E148" s="18"/>
      <c r="F148" s="18"/>
      <c r="G148" s="19"/>
      <c r="H148" s="19"/>
      <c r="I148" s="18"/>
      <c r="J148" s="18"/>
      <c r="K148" s="18"/>
      <c r="L148" s="18"/>
      <c r="M148" s="18"/>
      <c r="N148" s="18"/>
      <c r="O148" s="20" t="str">
        <f aca="false">IF(OR(I148="",I148=0,K148=""),"",K148/I148)</f>
        <v/>
      </c>
      <c r="P148" s="16" t="str">
        <f aca="false">IF(B148="","",IF(OR(AND(K148&lt;&gt;"",K148&gt;=設定!$B$7),AND(L148&lt;&gt;"",L148&gt;=設定!$B$8),AND(O148&lt;&gt;"",O148&gt;=設定!$B$9)),"○","×"))</f>
        <v/>
      </c>
      <c r="Q148" s="19"/>
      <c r="R148" s="21" t="str">
        <f aca="false">IF(B148="","",D148&amp;"-"&amp;N(K148))</f>
        <v/>
      </c>
    </row>
    <row r="149" customFormat="false" ht="15" hidden="false" customHeight="false" outlineLevel="0" collapsed="false">
      <c r="A149" s="16" t="n">
        <v>144</v>
      </c>
      <c r="B149" s="17"/>
      <c r="C149" s="16" t="str">
        <f aca="false">IF(B149="","",CHOOSE(WEEKDAY(B149),"日","月","火","水","木","金","土"))</f>
        <v/>
      </c>
      <c r="D149" s="16" t="str">
        <f aca="false">IF(B149="","",INT((B149-設定!$B$6)/7)+1)</f>
        <v/>
      </c>
      <c r="E149" s="18"/>
      <c r="F149" s="18"/>
      <c r="G149" s="19"/>
      <c r="H149" s="19"/>
      <c r="I149" s="18"/>
      <c r="J149" s="18"/>
      <c r="K149" s="18"/>
      <c r="L149" s="18"/>
      <c r="M149" s="18"/>
      <c r="N149" s="18"/>
      <c r="O149" s="20" t="str">
        <f aca="false">IF(OR(I149="",I149=0,K149=""),"",K149/I149)</f>
        <v/>
      </c>
      <c r="P149" s="16" t="str">
        <f aca="false">IF(B149="","",IF(OR(AND(K149&lt;&gt;"",K149&gt;=設定!$B$7),AND(L149&lt;&gt;"",L149&gt;=設定!$B$8),AND(O149&lt;&gt;"",O149&gt;=設定!$B$9)),"○","×"))</f>
        <v/>
      </c>
      <c r="Q149" s="19"/>
      <c r="R149" s="21" t="str">
        <f aca="false">IF(B149="","",D149&amp;"-"&amp;N(K149))</f>
        <v/>
      </c>
    </row>
    <row r="150" customFormat="false" ht="15" hidden="false" customHeight="false" outlineLevel="0" collapsed="false">
      <c r="A150" s="16" t="n">
        <v>145</v>
      </c>
      <c r="B150" s="17"/>
      <c r="C150" s="16" t="str">
        <f aca="false">IF(B150="","",CHOOSE(WEEKDAY(B150),"日","月","火","水","木","金","土"))</f>
        <v/>
      </c>
      <c r="D150" s="16" t="str">
        <f aca="false">IF(B150="","",INT((B150-設定!$B$6)/7)+1)</f>
        <v/>
      </c>
      <c r="E150" s="18"/>
      <c r="F150" s="18"/>
      <c r="G150" s="19"/>
      <c r="H150" s="19"/>
      <c r="I150" s="18"/>
      <c r="J150" s="18"/>
      <c r="K150" s="18"/>
      <c r="L150" s="18"/>
      <c r="M150" s="18"/>
      <c r="N150" s="18"/>
      <c r="O150" s="20" t="str">
        <f aca="false">IF(OR(I150="",I150=0,K150=""),"",K150/I150)</f>
        <v/>
      </c>
      <c r="P150" s="16" t="str">
        <f aca="false">IF(B150="","",IF(OR(AND(K150&lt;&gt;"",K150&gt;=設定!$B$7),AND(L150&lt;&gt;"",L150&gt;=設定!$B$8),AND(O150&lt;&gt;"",O150&gt;=設定!$B$9)),"○","×"))</f>
        <v/>
      </c>
      <c r="Q150" s="19"/>
      <c r="R150" s="21" t="str">
        <f aca="false">IF(B150="","",D150&amp;"-"&amp;N(K150))</f>
        <v/>
      </c>
    </row>
    <row r="151" customFormat="false" ht="15" hidden="false" customHeight="false" outlineLevel="0" collapsed="false">
      <c r="A151" s="16" t="n">
        <v>146</v>
      </c>
      <c r="B151" s="17"/>
      <c r="C151" s="16" t="str">
        <f aca="false">IF(B151="","",CHOOSE(WEEKDAY(B151),"日","月","火","水","木","金","土"))</f>
        <v/>
      </c>
      <c r="D151" s="16" t="str">
        <f aca="false">IF(B151="","",INT((B151-設定!$B$6)/7)+1)</f>
        <v/>
      </c>
      <c r="E151" s="18"/>
      <c r="F151" s="18"/>
      <c r="G151" s="19"/>
      <c r="H151" s="19"/>
      <c r="I151" s="18"/>
      <c r="J151" s="18"/>
      <c r="K151" s="18"/>
      <c r="L151" s="18"/>
      <c r="M151" s="18"/>
      <c r="N151" s="18"/>
      <c r="O151" s="20" t="str">
        <f aca="false">IF(OR(I151="",I151=0,K151=""),"",K151/I151)</f>
        <v/>
      </c>
      <c r="P151" s="16" t="str">
        <f aca="false">IF(B151="","",IF(OR(AND(K151&lt;&gt;"",K151&gt;=設定!$B$7),AND(L151&lt;&gt;"",L151&gt;=設定!$B$8),AND(O151&lt;&gt;"",O151&gt;=設定!$B$9)),"○","×"))</f>
        <v/>
      </c>
      <c r="Q151" s="19"/>
      <c r="R151" s="21" t="str">
        <f aca="false">IF(B151="","",D151&amp;"-"&amp;N(K151))</f>
        <v/>
      </c>
    </row>
    <row r="152" customFormat="false" ht="15" hidden="false" customHeight="false" outlineLevel="0" collapsed="false">
      <c r="A152" s="16" t="n">
        <v>147</v>
      </c>
      <c r="B152" s="17"/>
      <c r="C152" s="16" t="str">
        <f aca="false">IF(B152="","",CHOOSE(WEEKDAY(B152),"日","月","火","水","木","金","土"))</f>
        <v/>
      </c>
      <c r="D152" s="16" t="str">
        <f aca="false">IF(B152="","",INT((B152-設定!$B$6)/7)+1)</f>
        <v/>
      </c>
      <c r="E152" s="18"/>
      <c r="F152" s="18"/>
      <c r="G152" s="19"/>
      <c r="H152" s="19"/>
      <c r="I152" s="18"/>
      <c r="J152" s="18"/>
      <c r="K152" s="18"/>
      <c r="L152" s="18"/>
      <c r="M152" s="18"/>
      <c r="N152" s="18"/>
      <c r="O152" s="20" t="str">
        <f aca="false">IF(OR(I152="",I152=0,K152=""),"",K152/I152)</f>
        <v/>
      </c>
      <c r="P152" s="16" t="str">
        <f aca="false">IF(B152="","",IF(OR(AND(K152&lt;&gt;"",K152&gt;=設定!$B$7),AND(L152&lt;&gt;"",L152&gt;=設定!$B$8),AND(O152&lt;&gt;"",O152&gt;=設定!$B$9)),"○","×"))</f>
        <v/>
      </c>
      <c r="Q152" s="19"/>
      <c r="R152" s="21" t="str">
        <f aca="false">IF(B152="","",D152&amp;"-"&amp;N(K152))</f>
        <v/>
      </c>
    </row>
    <row r="153" customFormat="false" ht="15" hidden="false" customHeight="false" outlineLevel="0" collapsed="false">
      <c r="A153" s="16" t="n">
        <v>148</v>
      </c>
      <c r="B153" s="17"/>
      <c r="C153" s="16" t="str">
        <f aca="false">IF(B153="","",CHOOSE(WEEKDAY(B153),"日","月","火","水","木","金","土"))</f>
        <v/>
      </c>
      <c r="D153" s="16" t="str">
        <f aca="false">IF(B153="","",INT((B153-設定!$B$6)/7)+1)</f>
        <v/>
      </c>
      <c r="E153" s="18"/>
      <c r="F153" s="18"/>
      <c r="G153" s="19"/>
      <c r="H153" s="19"/>
      <c r="I153" s="18"/>
      <c r="J153" s="18"/>
      <c r="K153" s="18"/>
      <c r="L153" s="18"/>
      <c r="M153" s="18"/>
      <c r="N153" s="18"/>
      <c r="O153" s="20" t="str">
        <f aca="false">IF(OR(I153="",I153=0,K153=""),"",K153/I153)</f>
        <v/>
      </c>
      <c r="P153" s="16" t="str">
        <f aca="false">IF(B153="","",IF(OR(AND(K153&lt;&gt;"",K153&gt;=設定!$B$7),AND(L153&lt;&gt;"",L153&gt;=設定!$B$8),AND(O153&lt;&gt;"",O153&gt;=設定!$B$9)),"○","×"))</f>
        <v/>
      </c>
      <c r="Q153" s="19"/>
      <c r="R153" s="21" t="str">
        <f aca="false">IF(B153="","",D153&amp;"-"&amp;N(K153))</f>
        <v/>
      </c>
    </row>
    <row r="154" customFormat="false" ht="15" hidden="false" customHeight="false" outlineLevel="0" collapsed="false">
      <c r="A154" s="16" t="n">
        <v>149</v>
      </c>
      <c r="B154" s="17"/>
      <c r="C154" s="16" t="str">
        <f aca="false">IF(B154="","",CHOOSE(WEEKDAY(B154),"日","月","火","水","木","金","土"))</f>
        <v/>
      </c>
      <c r="D154" s="16" t="str">
        <f aca="false">IF(B154="","",INT((B154-設定!$B$6)/7)+1)</f>
        <v/>
      </c>
      <c r="E154" s="18"/>
      <c r="F154" s="18"/>
      <c r="G154" s="19"/>
      <c r="H154" s="19"/>
      <c r="I154" s="18"/>
      <c r="J154" s="18"/>
      <c r="K154" s="18"/>
      <c r="L154" s="18"/>
      <c r="M154" s="18"/>
      <c r="N154" s="18"/>
      <c r="O154" s="20" t="str">
        <f aca="false">IF(OR(I154="",I154=0,K154=""),"",K154/I154)</f>
        <v/>
      </c>
      <c r="P154" s="16" t="str">
        <f aca="false">IF(B154="","",IF(OR(AND(K154&lt;&gt;"",K154&gt;=設定!$B$7),AND(L154&lt;&gt;"",L154&gt;=設定!$B$8),AND(O154&lt;&gt;"",O154&gt;=設定!$B$9)),"○","×"))</f>
        <v/>
      </c>
      <c r="Q154" s="19"/>
      <c r="R154" s="21" t="str">
        <f aca="false">IF(B154="","",D154&amp;"-"&amp;N(K154))</f>
        <v/>
      </c>
    </row>
    <row r="155" customFormat="false" ht="15" hidden="false" customHeight="false" outlineLevel="0" collapsed="false">
      <c r="A155" s="16" t="n">
        <v>150</v>
      </c>
      <c r="B155" s="17"/>
      <c r="C155" s="16" t="str">
        <f aca="false">IF(B155="","",CHOOSE(WEEKDAY(B155),"日","月","火","水","木","金","土"))</f>
        <v/>
      </c>
      <c r="D155" s="16" t="str">
        <f aca="false">IF(B155="","",INT((B155-設定!$B$6)/7)+1)</f>
        <v/>
      </c>
      <c r="E155" s="18"/>
      <c r="F155" s="18"/>
      <c r="G155" s="19"/>
      <c r="H155" s="19"/>
      <c r="I155" s="18"/>
      <c r="J155" s="18"/>
      <c r="K155" s="18"/>
      <c r="L155" s="18"/>
      <c r="M155" s="18"/>
      <c r="N155" s="18"/>
      <c r="O155" s="20" t="str">
        <f aca="false">IF(OR(I155="",I155=0,K155=""),"",K155/I155)</f>
        <v/>
      </c>
      <c r="P155" s="16" t="str">
        <f aca="false">IF(B155="","",IF(OR(AND(K155&lt;&gt;"",K155&gt;=設定!$B$7),AND(L155&lt;&gt;"",L155&gt;=設定!$B$8),AND(O155&lt;&gt;"",O155&gt;=設定!$B$9)),"○","×"))</f>
        <v/>
      </c>
      <c r="Q155" s="19"/>
      <c r="R155" s="21" t="str">
        <f aca="false">IF(B155="","",D155&amp;"-"&amp;N(K155))</f>
        <v/>
      </c>
    </row>
    <row r="156" customFormat="false" ht="15" hidden="false" customHeight="false" outlineLevel="0" collapsed="false">
      <c r="A156" s="16" t="n">
        <v>151</v>
      </c>
      <c r="B156" s="17"/>
      <c r="C156" s="16" t="str">
        <f aca="false">IF(B156="","",CHOOSE(WEEKDAY(B156),"日","月","火","水","木","金","土"))</f>
        <v/>
      </c>
      <c r="D156" s="16" t="str">
        <f aca="false">IF(B156="","",INT((B156-設定!$B$6)/7)+1)</f>
        <v/>
      </c>
      <c r="E156" s="18"/>
      <c r="F156" s="18"/>
      <c r="G156" s="19"/>
      <c r="H156" s="19"/>
      <c r="I156" s="18"/>
      <c r="J156" s="18"/>
      <c r="K156" s="18"/>
      <c r="L156" s="18"/>
      <c r="M156" s="18"/>
      <c r="N156" s="18"/>
      <c r="O156" s="20" t="str">
        <f aca="false">IF(OR(I156="",I156=0,K156=""),"",K156/I156)</f>
        <v/>
      </c>
      <c r="P156" s="16" t="str">
        <f aca="false">IF(B156="","",IF(OR(AND(K156&lt;&gt;"",K156&gt;=設定!$B$7),AND(L156&lt;&gt;"",L156&gt;=設定!$B$8),AND(O156&lt;&gt;"",O156&gt;=設定!$B$9)),"○","×"))</f>
        <v/>
      </c>
      <c r="Q156" s="19"/>
      <c r="R156" s="21" t="str">
        <f aca="false">IF(B156="","",D156&amp;"-"&amp;N(K156))</f>
        <v/>
      </c>
    </row>
    <row r="157" customFormat="false" ht="15" hidden="false" customHeight="false" outlineLevel="0" collapsed="false">
      <c r="A157" s="16" t="n">
        <v>152</v>
      </c>
      <c r="B157" s="17"/>
      <c r="C157" s="16" t="str">
        <f aca="false">IF(B157="","",CHOOSE(WEEKDAY(B157),"日","月","火","水","木","金","土"))</f>
        <v/>
      </c>
      <c r="D157" s="16" t="str">
        <f aca="false">IF(B157="","",INT((B157-設定!$B$6)/7)+1)</f>
        <v/>
      </c>
      <c r="E157" s="18"/>
      <c r="F157" s="18"/>
      <c r="G157" s="19"/>
      <c r="H157" s="19"/>
      <c r="I157" s="18"/>
      <c r="J157" s="18"/>
      <c r="K157" s="18"/>
      <c r="L157" s="18"/>
      <c r="M157" s="18"/>
      <c r="N157" s="18"/>
      <c r="O157" s="20" t="str">
        <f aca="false">IF(OR(I157="",I157=0,K157=""),"",K157/I157)</f>
        <v/>
      </c>
      <c r="P157" s="16" t="str">
        <f aca="false">IF(B157="","",IF(OR(AND(K157&lt;&gt;"",K157&gt;=設定!$B$7),AND(L157&lt;&gt;"",L157&gt;=設定!$B$8),AND(O157&lt;&gt;"",O157&gt;=設定!$B$9)),"○","×"))</f>
        <v/>
      </c>
      <c r="Q157" s="19"/>
      <c r="R157" s="21" t="str">
        <f aca="false">IF(B157="","",D157&amp;"-"&amp;N(K157))</f>
        <v/>
      </c>
    </row>
    <row r="158" customFormat="false" ht="15" hidden="false" customHeight="false" outlineLevel="0" collapsed="false">
      <c r="A158" s="16" t="n">
        <v>153</v>
      </c>
      <c r="B158" s="17"/>
      <c r="C158" s="16" t="str">
        <f aca="false">IF(B158="","",CHOOSE(WEEKDAY(B158),"日","月","火","水","木","金","土"))</f>
        <v/>
      </c>
      <c r="D158" s="16" t="str">
        <f aca="false">IF(B158="","",INT((B158-設定!$B$6)/7)+1)</f>
        <v/>
      </c>
      <c r="E158" s="18"/>
      <c r="F158" s="18"/>
      <c r="G158" s="19"/>
      <c r="H158" s="19"/>
      <c r="I158" s="18"/>
      <c r="J158" s="18"/>
      <c r="K158" s="18"/>
      <c r="L158" s="18"/>
      <c r="M158" s="18"/>
      <c r="N158" s="18"/>
      <c r="O158" s="20" t="str">
        <f aca="false">IF(OR(I158="",I158=0,K158=""),"",K158/I158)</f>
        <v/>
      </c>
      <c r="P158" s="16" t="str">
        <f aca="false">IF(B158="","",IF(OR(AND(K158&lt;&gt;"",K158&gt;=設定!$B$7),AND(L158&lt;&gt;"",L158&gt;=設定!$B$8),AND(O158&lt;&gt;"",O158&gt;=設定!$B$9)),"○","×"))</f>
        <v/>
      </c>
      <c r="Q158" s="19"/>
      <c r="R158" s="21" t="str">
        <f aca="false">IF(B158="","",D158&amp;"-"&amp;N(K158))</f>
        <v/>
      </c>
    </row>
    <row r="159" customFormat="false" ht="15" hidden="false" customHeight="false" outlineLevel="0" collapsed="false">
      <c r="A159" s="16" t="n">
        <v>154</v>
      </c>
      <c r="B159" s="17"/>
      <c r="C159" s="16" t="str">
        <f aca="false">IF(B159="","",CHOOSE(WEEKDAY(B159),"日","月","火","水","木","金","土"))</f>
        <v/>
      </c>
      <c r="D159" s="16" t="str">
        <f aca="false">IF(B159="","",INT((B159-設定!$B$6)/7)+1)</f>
        <v/>
      </c>
      <c r="E159" s="18"/>
      <c r="F159" s="18"/>
      <c r="G159" s="19"/>
      <c r="H159" s="19"/>
      <c r="I159" s="18"/>
      <c r="J159" s="18"/>
      <c r="K159" s="18"/>
      <c r="L159" s="18"/>
      <c r="M159" s="18"/>
      <c r="N159" s="18"/>
      <c r="O159" s="20" t="str">
        <f aca="false">IF(OR(I159="",I159=0,K159=""),"",K159/I159)</f>
        <v/>
      </c>
      <c r="P159" s="16" t="str">
        <f aca="false">IF(B159="","",IF(OR(AND(K159&lt;&gt;"",K159&gt;=設定!$B$7),AND(L159&lt;&gt;"",L159&gt;=設定!$B$8),AND(O159&lt;&gt;"",O159&gt;=設定!$B$9)),"○","×"))</f>
        <v/>
      </c>
      <c r="Q159" s="19"/>
      <c r="R159" s="21" t="str">
        <f aca="false">IF(B159="","",D159&amp;"-"&amp;N(K159))</f>
        <v/>
      </c>
    </row>
    <row r="160" customFormat="false" ht="15" hidden="false" customHeight="false" outlineLevel="0" collapsed="false">
      <c r="A160" s="16" t="n">
        <v>155</v>
      </c>
      <c r="B160" s="17"/>
      <c r="C160" s="16" t="str">
        <f aca="false">IF(B160="","",CHOOSE(WEEKDAY(B160),"日","月","火","水","木","金","土"))</f>
        <v/>
      </c>
      <c r="D160" s="16" t="str">
        <f aca="false">IF(B160="","",INT((B160-設定!$B$6)/7)+1)</f>
        <v/>
      </c>
      <c r="E160" s="18"/>
      <c r="F160" s="18"/>
      <c r="G160" s="19"/>
      <c r="H160" s="19"/>
      <c r="I160" s="18"/>
      <c r="J160" s="18"/>
      <c r="K160" s="18"/>
      <c r="L160" s="18"/>
      <c r="M160" s="18"/>
      <c r="N160" s="18"/>
      <c r="O160" s="20" t="str">
        <f aca="false">IF(OR(I160="",I160=0,K160=""),"",K160/I160)</f>
        <v/>
      </c>
      <c r="P160" s="16" t="str">
        <f aca="false">IF(B160="","",IF(OR(AND(K160&lt;&gt;"",K160&gt;=設定!$B$7),AND(L160&lt;&gt;"",L160&gt;=設定!$B$8),AND(O160&lt;&gt;"",O160&gt;=設定!$B$9)),"○","×"))</f>
        <v/>
      </c>
      <c r="Q160" s="19"/>
      <c r="R160" s="21" t="str">
        <f aca="false">IF(B160="","",D160&amp;"-"&amp;N(K160))</f>
        <v/>
      </c>
    </row>
    <row r="161" customFormat="false" ht="15" hidden="false" customHeight="false" outlineLevel="0" collapsed="false">
      <c r="A161" s="16" t="n">
        <v>156</v>
      </c>
      <c r="B161" s="17"/>
      <c r="C161" s="16" t="str">
        <f aca="false">IF(B161="","",CHOOSE(WEEKDAY(B161),"日","月","火","水","木","金","土"))</f>
        <v/>
      </c>
      <c r="D161" s="16" t="str">
        <f aca="false">IF(B161="","",INT((B161-設定!$B$6)/7)+1)</f>
        <v/>
      </c>
      <c r="E161" s="18"/>
      <c r="F161" s="18"/>
      <c r="G161" s="19"/>
      <c r="H161" s="19"/>
      <c r="I161" s="18"/>
      <c r="J161" s="18"/>
      <c r="K161" s="18"/>
      <c r="L161" s="18"/>
      <c r="M161" s="18"/>
      <c r="N161" s="18"/>
      <c r="O161" s="20" t="str">
        <f aca="false">IF(OR(I161="",I161=0,K161=""),"",K161/I161)</f>
        <v/>
      </c>
      <c r="P161" s="16" t="str">
        <f aca="false">IF(B161="","",IF(OR(AND(K161&lt;&gt;"",K161&gt;=設定!$B$7),AND(L161&lt;&gt;"",L161&gt;=設定!$B$8),AND(O161&lt;&gt;"",O161&gt;=設定!$B$9)),"○","×"))</f>
        <v/>
      </c>
      <c r="Q161" s="19"/>
      <c r="R161" s="21" t="str">
        <f aca="false">IF(B161="","",D161&amp;"-"&amp;N(K161))</f>
        <v/>
      </c>
    </row>
    <row r="162" customFormat="false" ht="15" hidden="false" customHeight="false" outlineLevel="0" collapsed="false">
      <c r="A162" s="16" t="n">
        <v>157</v>
      </c>
      <c r="B162" s="17"/>
      <c r="C162" s="16" t="str">
        <f aca="false">IF(B162="","",CHOOSE(WEEKDAY(B162),"日","月","火","水","木","金","土"))</f>
        <v/>
      </c>
      <c r="D162" s="16" t="str">
        <f aca="false">IF(B162="","",INT((B162-設定!$B$6)/7)+1)</f>
        <v/>
      </c>
      <c r="E162" s="18"/>
      <c r="F162" s="18"/>
      <c r="G162" s="19"/>
      <c r="H162" s="19"/>
      <c r="I162" s="18"/>
      <c r="J162" s="18"/>
      <c r="K162" s="18"/>
      <c r="L162" s="18"/>
      <c r="M162" s="18"/>
      <c r="N162" s="18"/>
      <c r="O162" s="20" t="str">
        <f aca="false">IF(OR(I162="",I162=0,K162=""),"",K162/I162)</f>
        <v/>
      </c>
      <c r="P162" s="16" t="str">
        <f aca="false">IF(B162="","",IF(OR(AND(K162&lt;&gt;"",K162&gt;=設定!$B$7),AND(L162&lt;&gt;"",L162&gt;=設定!$B$8),AND(O162&lt;&gt;"",O162&gt;=設定!$B$9)),"○","×"))</f>
        <v/>
      </c>
      <c r="Q162" s="19"/>
      <c r="R162" s="21" t="str">
        <f aca="false">IF(B162="","",D162&amp;"-"&amp;N(K162))</f>
        <v/>
      </c>
    </row>
    <row r="163" customFormat="false" ht="15" hidden="false" customHeight="false" outlineLevel="0" collapsed="false">
      <c r="A163" s="16" t="n">
        <v>158</v>
      </c>
      <c r="B163" s="17"/>
      <c r="C163" s="16" t="str">
        <f aca="false">IF(B163="","",CHOOSE(WEEKDAY(B163),"日","月","火","水","木","金","土"))</f>
        <v/>
      </c>
      <c r="D163" s="16" t="str">
        <f aca="false">IF(B163="","",INT((B163-設定!$B$6)/7)+1)</f>
        <v/>
      </c>
      <c r="E163" s="18"/>
      <c r="F163" s="18"/>
      <c r="G163" s="19"/>
      <c r="H163" s="19"/>
      <c r="I163" s="18"/>
      <c r="J163" s="18"/>
      <c r="K163" s="18"/>
      <c r="L163" s="18"/>
      <c r="M163" s="18"/>
      <c r="N163" s="18"/>
      <c r="O163" s="20" t="str">
        <f aca="false">IF(OR(I163="",I163=0,K163=""),"",K163/I163)</f>
        <v/>
      </c>
      <c r="P163" s="16" t="str">
        <f aca="false">IF(B163="","",IF(OR(AND(K163&lt;&gt;"",K163&gt;=設定!$B$7),AND(L163&lt;&gt;"",L163&gt;=設定!$B$8),AND(O163&lt;&gt;"",O163&gt;=設定!$B$9)),"○","×"))</f>
        <v/>
      </c>
      <c r="Q163" s="19"/>
      <c r="R163" s="21" t="str">
        <f aca="false">IF(B163="","",D163&amp;"-"&amp;N(K163))</f>
        <v/>
      </c>
    </row>
    <row r="164" customFormat="false" ht="15" hidden="false" customHeight="false" outlineLevel="0" collapsed="false">
      <c r="A164" s="16" t="n">
        <v>159</v>
      </c>
      <c r="B164" s="17"/>
      <c r="C164" s="16" t="str">
        <f aca="false">IF(B164="","",CHOOSE(WEEKDAY(B164),"日","月","火","水","木","金","土"))</f>
        <v/>
      </c>
      <c r="D164" s="16" t="str">
        <f aca="false">IF(B164="","",INT((B164-設定!$B$6)/7)+1)</f>
        <v/>
      </c>
      <c r="E164" s="18"/>
      <c r="F164" s="18"/>
      <c r="G164" s="19"/>
      <c r="H164" s="19"/>
      <c r="I164" s="18"/>
      <c r="J164" s="18"/>
      <c r="K164" s="18"/>
      <c r="L164" s="18"/>
      <c r="M164" s="18"/>
      <c r="N164" s="18"/>
      <c r="O164" s="20" t="str">
        <f aca="false">IF(OR(I164="",I164=0,K164=""),"",K164/I164)</f>
        <v/>
      </c>
      <c r="P164" s="16" t="str">
        <f aca="false">IF(B164="","",IF(OR(AND(K164&lt;&gt;"",K164&gt;=設定!$B$7),AND(L164&lt;&gt;"",L164&gt;=設定!$B$8),AND(O164&lt;&gt;"",O164&gt;=設定!$B$9)),"○","×"))</f>
        <v/>
      </c>
      <c r="Q164" s="19"/>
      <c r="R164" s="21" t="str">
        <f aca="false">IF(B164="","",D164&amp;"-"&amp;N(K164))</f>
        <v/>
      </c>
    </row>
    <row r="165" customFormat="false" ht="15" hidden="false" customHeight="false" outlineLevel="0" collapsed="false">
      <c r="A165" s="16" t="n">
        <v>160</v>
      </c>
      <c r="B165" s="17"/>
      <c r="C165" s="16" t="str">
        <f aca="false">IF(B165="","",CHOOSE(WEEKDAY(B165),"日","月","火","水","木","金","土"))</f>
        <v/>
      </c>
      <c r="D165" s="16" t="str">
        <f aca="false">IF(B165="","",INT((B165-設定!$B$6)/7)+1)</f>
        <v/>
      </c>
      <c r="E165" s="18"/>
      <c r="F165" s="18"/>
      <c r="G165" s="19"/>
      <c r="H165" s="19"/>
      <c r="I165" s="18"/>
      <c r="J165" s="18"/>
      <c r="K165" s="18"/>
      <c r="L165" s="18"/>
      <c r="M165" s="18"/>
      <c r="N165" s="18"/>
      <c r="O165" s="20" t="str">
        <f aca="false">IF(OR(I165="",I165=0,K165=""),"",K165/I165)</f>
        <v/>
      </c>
      <c r="P165" s="16" t="str">
        <f aca="false">IF(B165="","",IF(OR(AND(K165&lt;&gt;"",K165&gt;=設定!$B$7),AND(L165&lt;&gt;"",L165&gt;=設定!$B$8),AND(O165&lt;&gt;"",O165&gt;=設定!$B$9)),"○","×"))</f>
        <v/>
      </c>
      <c r="Q165" s="19"/>
      <c r="R165" s="21" t="str">
        <f aca="false">IF(B165="","",D165&amp;"-"&amp;N(K165))</f>
        <v/>
      </c>
    </row>
    <row r="166" customFormat="false" ht="15" hidden="false" customHeight="false" outlineLevel="0" collapsed="false">
      <c r="A166" s="16" t="n">
        <v>161</v>
      </c>
      <c r="B166" s="17"/>
      <c r="C166" s="16" t="str">
        <f aca="false">IF(B166="","",CHOOSE(WEEKDAY(B166),"日","月","火","水","木","金","土"))</f>
        <v/>
      </c>
      <c r="D166" s="16" t="str">
        <f aca="false">IF(B166="","",INT((B166-設定!$B$6)/7)+1)</f>
        <v/>
      </c>
      <c r="E166" s="18"/>
      <c r="F166" s="18"/>
      <c r="G166" s="19"/>
      <c r="H166" s="19"/>
      <c r="I166" s="18"/>
      <c r="J166" s="18"/>
      <c r="K166" s="18"/>
      <c r="L166" s="18"/>
      <c r="M166" s="18"/>
      <c r="N166" s="18"/>
      <c r="O166" s="20" t="str">
        <f aca="false">IF(OR(I166="",I166=0,K166=""),"",K166/I166)</f>
        <v/>
      </c>
      <c r="P166" s="16" t="str">
        <f aca="false">IF(B166="","",IF(OR(AND(K166&lt;&gt;"",K166&gt;=設定!$B$7),AND(L166&lt;&gt;"",L166&gt;=設定!$B$8),AND(O166&lt;&gt;"",O166&gt;=設定!$B$9)),"○","×"))</f>
        <v/>
      </c>
      <c r="Q166" s="19"/>
      <c r="R166" s="21" t="str">
        <f aca="false">IF(B166="","",D166&amp;"-"&amp;N(K166))</f>
        <v/>
      </c>
    </row>
    <row r="167" customFormat="false" ht="15" hidden="false" customHeight="false" outlineLevel="0" collapsed="false">
      <c r="A167" s="16" t="n">
        <v>162</v>
      </c>
      <c r="B167" s="17"/>
      <c r="C167" s="16" t="str">
        <f aca="false">IF(B167="","",CHOOSE(WEEKDAY(B167),"日","月","火","水","木","金","土"))</f>
        <v/>
      </c>
      <c r="D167" s="16" t="str">
        <f aca="false">IF(B167="","",INT((B167-設定!$B$6)/7)+1)</f>
        <v/>
      </c>
      <c r="E167" s="18"/>
      <c r="F167" s="18"/>
      <c r="G167" s="19"/>
      <c r="H167" s="19"/>
      <c r="I167" s="18"/>
      <c r="J167" s="18"/>
      <c r="K167" s="18"/>
      <c r="L167" s="18"/>
      <c r="M167" s="18"/>
      <c r="N167" s="18"/>
      <c r="O167" s="20" t="str">
        <f aca="false">IF(OR(I167="",I167=0,K167=""),"",K167/I167)</f>
        <v/>
      </c>
      <c r="P167" s="16" t="str">
        <f aca="false">IF(B167="","",IF(OR(AND(K167&lt;&gt;"",K167&gt;=設定!$B$7),AND(L167&lt;&gt;"",L167&gt;=設定!$B$8),AND(O167&lt;&gt;"",O167&gt;=設定!$B$9)),"○","×"))</f>
        <v/>
      </c>
      <c r="Q167" s="19"/>
      <c r="R167" s="21" t="str">
        <f aca="false">IF(B167="","",D167&amp;"-"&amp;N(K167))</f>
        <v/>
      </c>
    </row>
    <row r="168" customFormat="false" ht="15" hidden="false" customHeight="false" outlineLevel="0" collapsed="false">
      <c r="A168" s="16" t="n">
        <v>163</v>
      </c>
      <c r="B168" s="17"/>
      <c r="C168" s="16" t="str">
        <f aca="false">IF(B168="","",CHOOSE(WEEKDAY(B168),"日","月","火","水","木","金","土"))</f>
        <v/>
      </c>
      <c r="D168" s="16" t="str">
        <f aca="false">IF(B168="","",INT((B168-設定!$B$6)/7)+1)</f>
        <v/>
      </c>
      <c r="E168" s="18"/>
      <c r="F168" s="18"/>
      <c r="G168" s="19"/>
      <c r="H168" s="19"/>
      <c r="I168" s="18"/>
      <c r="J168" s="18"/>
      <c r="K168" s="18"/>
      <c r="L168" s="18"/>
      <c r="M168" s="18"/>
      <c r="N168" s="18"/>
      <c r="O168" s="20" t="str">
        <f aca="false">IF(OR(I168="",I168=0,K168=""),"",K168/I168)</f>
        <v/>
      </c>
      <c r="P168" s="16" t="str">
        <f aca="false">IF(B168="","",IF(OR(AND(K168&lt;&gt;"",K168&gt;=設定!$B$7),AND(L168&lt;&gt;"",L168&gt;=設定!$B$8),AND(O168&lt;&gt;"",O168&gt;=設定!$B$9)),"○","×"))</f>
        <v/>
      </c>
      <c r="Q168" s="19"/>
      <c r="R168" s="21" t="str">
        <f aca="false">IF(B168="","",D168&amp;"-"&amp;N(K168))</f>
        <v/>
      </c>
    </row>
    <row r="169" customFormat="false" ht="15" hidden="false" customHeight="false" outlineLevel="0" collapsed="false">
      <c r="A169" s="16" t="n">
        <v>164</v>
      </c>
      <c r="B169" s="17"/>
      <c r="C169" s="16" t="str">
        <f aca="false">IF(B169="","",CHOOSE(WEEKDAY(B169),"日","月","火","水","木","金","土"))</f>
        <v/>
      </c>
      <c r="D169" s="16" t="str">
        <f aca="false">IF(B169="","",INT((B169-設定!$B$6)/7)+1)</f>
        <v/>
      </c>
      <c r="E169" s="18"/>
      <c r="F169" s="18"/>
      <c r="G169" s="19"/>
      <c r="H169" s="19"/>
      <c r="I169" s="18"/>
      <c r="J169" s="18"/>
      <c r="K169" s="18"/>
      <c r="L169" s="18"/>
      <c r="M169" s="18"/>
      <c r="N169" s="18"/>
      <c r="O169" s="20" t="str">
        <f aca="false">IF(OR(I169="",I169=0,K169=""),"",K169/I169)</f>
        <v/>
      </c>
      <c r="P169" s="16" t="str">
        <f aca="false">IF(B169="","",IF(OR(AND(K169&lt;&gt;"",K169&gt;=設定!$B$7),AND(L169&lt;&gt;"",L169&gt;=設定!$B$8),AND(O169&lt;&gt;"",O169&gt;=設定!$B$9)),"○","×"))</f>
        <v/>
      </c>
      <c r="Q169" s="19"/>
      <c r="R169" s="21" t="str">
        <f aca="false">IF(B169="","",D169&amp;"-"&amp;N(K169))</f>
        <v/>
      </c>
    </row>
    <row r="170" customFormat="false" ht="15" hidden="false" customHeight="false" outlineLevel="0" collapsed="false">
      <c r="A170" s="16" t="n">
        <v>165</v>
      </c>
      <c r="B170" s="17"/>
      <c r="C170" s="16" t="str">
        <f aca="false">IF(B170="","",CHOOSE(WEEKDAY(B170),"日","月","火","水","木","金","土"))</f>
        <v/>
      </c>
      <c r="D170" s="16" t="str">
        <f aca="false">IF(B170="","",INT((B170-設定!$B$6)/7)+1)</f>
        <v/>
      </c>
      <c r="E170" s="18"/>
      <c r="F170" s="18"/>
      <c r="G170" s="19"/>
      <c r="H170" s="19"/>
      <c r="I170" s="18"/>
      <c r="J170" s="18"/>
      <c r="K170" s="18"/>
      <c r="L170" s="18"/>
      <c r="M170" s="18"/>
      <c r="N170" s="18"/>
      <c r="O170" s="20" t="str">
        <f aca="false">IF(OR(I170="",I170=0,K170=""),"",K170/I170)</f>
        <v/>
      </c>
      <c r="P170" s="16" t="str">
        <f aca="false">IF(B170="","",IF(OR(AND(K170&lt;&gt;"",K170&gt;=設定!$B$7),AND(L170&lt;&gt;"",L170&gt;=設定!$B$8),AND(O170&lt;&gt;"",O170&gt;=設定!$B$9)),"○","×"))</f>
        <v/>
      </c>
      <c r="Q170" s="19"/>
      <c r="R170" s="21" t="str">
        <f aca="false">IF(B170="","",D170&amp;"-"&amp;N(K170))</f>
        <v/>
      </c>
    </row>
    <row r="171" customFormat="false" ht="15" hidden="false" customHeight="false" outlineLevel="0" collapsed="false">
      <c r="A171" s="16" t="n">
        <v>166</v>
      </c>
      <c r="B171" s="17"/>
      <c r="C171" s="16" t="str">
        <f aca="false">IF(B171="","",CHOOSE(WEEKDAY(B171),"日","月","火","水","木","金","土"))</f>
        <v/>
      </c>
      <c r="D171" s="16" t="str">
        <f aca="false">IF(B171="","",INT((B171-設定!$B$6)/7)+1)</f>
        <v/>
      </c>
      <c r="E171" s="18"/>
      <c r="F171" s="18"/>
      <c r="G171" s="19"/>
      <c r="H171" s="19"/>
      <c r="I171" s="18"/>
      <c r="J171" s="18"/>
      <c r="K171" s="18"/>
      <c r="L171" s="18"/>
      <c r="M171" s="18"/>
      <c r="N171" s="18"/>
      <c r="O171" s="20" t="str">
        <f aca="false">IF(OR(I171="",I171=0,K171=""),"",K171/I171)</f>
        <v/>
      </c>
      <c r="P171" s="16" t="str">
        <f aca="false">IF(B171="","",IF(OR(AND(K171&lt;&gt;"",K171&gt;=設定!$B$7),AND(L171&lt;&gt;"",L171&gt;=設定!$B$8),AND(O171&lt;&gt;"",O171&gt;=設定!$B$9)),"○","×"))</f>
        <v/>
      </c>
      <c r="Q171" s="19"/>
      <c r="R171" s="21" t="str">
        <f aca="false">IF(B171="","",D171&amp;"-"&amp;N(K171))</f>
        <v/>
      </c>
    </row>
    <row r="172" customFormat="false" ht="15" hidden="false" customHeight="false" outlineLevel="0" collapsed="false">
      <c r="A172" s="16" t="n">
        <v>167</v>
      </c>
      <c r="B172" s="17"/>
      <c r="C172" s="16" t="str">
        <f aca="false">IF(B172="","",CHOOSE(WEEKDAY(B172),"日","月","火","水","木","金","土"))</f>
        <v/>
      </c>
      <c r="D172" s="16" t="str">
        <f aca="false">IF(B172="","",INT((B172-設定!$B$6)/7)+1)</f>
        <v/>
      </c>
      <c r="E172" s="18"/>
      <c r="F172" s="18"/>
      <c r="G172" s="19"/>
      <c r="H172" s="19"/>
      <c r="I172" s="18"/>
      <c r="J172" s="18"/>
      <c r="K172" s="18"/>
      <c r="L172" s="18"/>
      <c r="M172" s="18"/>
      <c r="N172" s="18"/>
      <c r="O172" s="20" t="str">
        <f aca="false">IF(OR(I172="",I172=0,K172=""),"",K172/I172)</f>
        <v/>
      </c>
      <c r="P172" s="16" t="str">
        <f aca="false">IF(B172="","",IF(OR(AND(K172&lt;&gt;"",K172&gt;=設定!$B$7),AND(L172&lt;&gt;"",L172&gt;=設定!$B$8),AND(O172&lt;&gt;"",O172&gt;=設定!$B$9)),"○","×"))</f>
        <v/>
      </c>
      <c r="Q172" s="19"/>
      <c r="R172" s="21" t="str">
        <f aca="false">IF(B172="","",D172&amp;"-"&amp;N(K172))</f>
        <v/>
      </c>
    </row>
    <row r="173" customFormat="false" ht="15" hidden="false" customHeight="false" outlineLevel="0" collapsed="false">
      <c r="A173" s="16" t="n">
        <v>168</v>
      </c>
      <c r="B173" s="17"/>
      <c r="C173" s="16" t="str">
        <f aca="false">IF(B173="","",CHOOSE(WEEKDAY(B173),"日","月","火","水","木","金","土"))</f>
        <v/>
      </c>
      <c r="D173" s="16" t="str">
        <f aca="false">IF(B173="","",INT((B173-設定!$B$6)/7)+1)</f>
        <v/>
      </c>
      <c r="E173" s="18"/>
      <c r="F173" s="18"/>
      <c r="G173" s="19"/>
      <c r="H173" s="19"/>
      <c r="I173" s="18"/>
      <c r="J173" s="18"/>
      <c r="K173" s="18"/>
      <c r="L173" s="18"/>
      <c r="M173" s="18"/>
      <c r="N173" s="18"/>
      <c r="O173" s="20" t="str">
        <f aca="false">IF(OR(I173="",I173=0,K173=""),"",K173/I173)</f>
        <v/>
      </c>
      <c r="P173" s="16" t="str">
        <f aca="false">IF(B173="","",IF(OR(AND(K173&lt;&gt;"",K173&gt;=設定!$B$7),AND(L173&lt;&gt;"",L173&gt;=設定!$B$8),AND(O173&lt;&gt;"",O173&gt;=設定!$B$9)),"○","×"))</f>
        <v/>
      </c>
      <c r="Q173" s="19"/>
      <c r="R173" s="21" t="str">
        <f aca="false">IF(B173="","",D173&amp;"-"&amp;N(K173))</f>
        <v/>
      </c>
    </row>
    <row r="174" customFormat="false" ht="15" hidden="false" customHeight="false" outlineLevel="0" collapsed="false">
      <c r="A174" s="16" t="n">
        <v>169</v>
      </c>
      <c r="B174" s="17"/>
      <c r="C174" s="16" t="str">
        <f aca="false">IF(B174="","",CHOOSE(WEEKDAY(B174),"日","月","火","水","木","金","土"))</f>
        <v/>
      </c>
      <c r="D174" s="16" t="str">
        <f aca="false">IF(B174="","",INT((B174-設定!$B$6)/7)+1)</f>
        <v/>
      </c>
      <c r="E174" s="18"/>
      <c r="F174" s="18"/>
      <c r="G174" s="19"/>
      <c r="H174" s="19"/>
      <c r="I174" s="18"/>
      <c r="J174" s="18"/>
      <c r="K174" s="18"/>
      <c r="L174" s="18"/>
      <c r="M174" s="18"/>
      <c r="N174" s="18"/>
      <c r="O174" s="20" t="str">
        <f aca="false">IF(OR(I174="",I174=0,K174=""),"",K174/I174)</f>
        <v/>
      </c>
      <c r="P174" s="16" t="str">
        <f aca="false">IF(B174="","",IF(OR(AND(K174&lt;&gt;"",K174&gt;=設定!$B$7),AND(L174&lt;&gt;"",L174&gt;=設定!$B$8),AND(O174&lt;&gt;"",O174&gt;=設定!$B$9)),"○","×"))</f>
        <v/>
      </c>
      <c r="Q174" s="19"/>
      <c r="R174" s="21" t="str">
        <f aca="false">IF(B174="","",D174&amp;"-"&amp;N(K174))</f>
        <v/>
      </c>
    </row>
    <row r="175" customFormat="false" ht="15" hidden="false" customHeight="false" outlineLevel="0" collapsed="false">
      <c r="A175" s="16" t="n">
        <v>170</v>
      </c>
      <c r="B175" s="17"/>
      <c r="C175" s="16" t="str">
        <f aca="false">IF(B175="","",CHOOSE(WEEKDAY(B175),"日","月","火","水","木","金","土"))</f>
        <v/>
      </c>
      <c r="D175" s="16" t="str">
        <f aca="false">IF(B175="","",INT((B175-設定!$B$6)/7)+1)</f>
        <v/>
      </c>
      <c r="E175" s="18"/>
      <c r="F175" s="18"/>
      <c r="G175" s="19"/>
      <c r="H175" s="19"/>
      <c r="I175" s="18"/>
      <c r="J175" s="18"/>
      <c r="K175" s="18"/>
      <c r="L175" s="18"/>
      <c r="M175" s="18"/>
      <c r="N175" s="18"/>
      <c r="O175" s="20" t="str">
        <f aca="false">IF(OR(I175="",I175=0,K175=""),"",K175/I175)</f>
        <v/>
      </c>
      <c r="P175" s="16" t="str">
        <f aca="false">IF(B175="","",IF(OR(AND(K175&lt;&gt;"",K175&gt;=設定!$B$7),AND(L175&lt;&gt;"",L175&gt;=設定!$B$8),AND(O175&lt;&gt;"",O175&gt;=設定!$B$9)),"○","×"))</f>
        <v/>
      </c>
      <c r="Q175" s="19"/>
      <c r="R175" s="21" t="str">
        <f aca="false">IF(B175="","",D175&amp;"-"&amp;N(K175))</f>
        <v/>
      </c>
    </row>
    <row r="176" customFormat="false" ht="15" hidden="false" customHeight="false" outlineLevel="0" collapsed="false">
      <c r="A176" s="16" t="n">
        <v>171</v>
      </c>
      <c r="B176" s="17"/>
      <c r="C176" s="16" t="str">
        <f aca="false">IF(B176="","",CHOOSE(WEEKDAY(B176),"日","月","火","水","木","金","土"))</f>
        <v/>
      </c>
      <c r="D176" s="16" t="str">
        <f aca="false">IF(B176="","",INT((B176-設定!$B$6)/7)+1)</f>
        <v/>
      </c>
      <c r="E176" s="18"/>
      <c r="F176" s="18"/>
      <c r="G176" s="19"/>
      <c r="H176" s="19"/>
      <c r="I176" s="18"/>
      <c r="J176" s="18"/>
      <c r="K176" s="18"/>
      <c r="L176" s="18"/>
      <c r="M176" s="18"/>
      <c r="N176" s="18"/>
      <c r="O176" s="20" t="str">
        <f aca="false">IF(OR(I176="",I176=0,K176=""),"",K176/I176)</f>
        <v/>
      </c>
      <c r="P176" s="16" t="str">
        <f aca="false">IF(B176="","",IF(OR(AND(K176&lt;&gt;"",K176&gt;=設定!$B$7),AND(L176&lt;&gt;"",L176&gt;=設定!$B$8),AND(O176&lt;&gt;"",O176&gt;=設定!$B$9)),"○","×"))</f>
        <v/>
      </c>
      <c r="Q176" s="19"/>
      <c r="R176" s="21" t="str">
        <f aca="false">IF(B176="","",D176&amp;"-"&amp;N(K176))</f>
        <v/>
      </c>
    </row>
    <row r="177" customFormat="false" ht="15" hidden="false" customHeight="false" outlineLevel="0" collapsed="false">
      <c r="A177" s="16" t="n">
        <v>172</v>
      </c>
      <c r="B177" s="17"/>
      <c r="C177" s="16" t="str">
        <f aca="false">IF(B177="","",CHOOSE(WEEKDAY(B177),"日","月","火","水","木","金","土"))</f>
        <v/>
      </c>
      <c r="D177" s="16" t="str">
        <f aca="false">IF(B177="","",INT((B177-設定!$B$6)/7)+1)</f>
        <v/>
      </c>
      <c r="E177" s="18"/>
      <c r="F177" s="18"/>
      <c r="G177" s="19"/>
      <c r="H177" s="19"/>
      <c r="I177" s="18"/>
      <c r="J177" s="18"/>
      <c r="K177" s="18"/>
      <c r="L177" s="18"/>
      <c r="M177" s="18"/>
      <c r="N177" s="18"/>
      <c r="O177" s="20" t="str">
        <f aca="false">IF(OR(I177="",I177=0,K177=""),"",K177/I177)</f>
        <v/>
      </c>
      <c r="P177" s="16" t="str">
        <f aca="false">IF(B177="","",IF(OR(AND(K177&lt;&gt;"",K177&gt;=設定!$B$7),AND(L177&lt;&gt;"",L177&gt;=設定!$B$8),AND(O177&lt;&gt;"",O177&gt;=設定!$B$9)),"○","×"))</f>
        <v/>
      </c>
      <c r="Q177" s="19"/>
      <c r="R177" s="21" t="str">
        <f aca="false">IF(B177="","",D177&amp;"-"&amp;N(K177))</f>
        <v/>
      </c>
    </row>
    <row r="178" customFormat="false" ht="15" hidden="false" customHeight="false" outlineLevel="0" collapsed="false">
      <c r="A178" s="16" t="n">
        <v>173</v>
      </c>
      <c r="B178" s="17"/>
      <c r="C178" s="16" t="str">
        <f aca="false">IF(B178="","",CHOOSE(WEEKDAY(B178),"日","月","火","水","木","金","土"))</f>
        <v/>
      </c>
      <c r="D178" s="16" t="str">
        <f aca="false">IF(B178="","",INT((B178-設定!$B$6)/7)+1)</f>
        <v/>
      </c>
      <c r="E178" s="18"/>
      <c r="F178" s="18"/>
      <c r="G178" s="19"/>
      <c r="H178" s="19"/>
      <c r="I178" s="18"/>
      <c r="J178" s="18"/>
      <c r="K178" s="18"/>
      <c r="L178" s="18"/>
      <c r="M178" s="18"/>
      <c r="N178" s="18"/>
      <c r="O178" s="20" t="str">
        <f aca="false">IF(OR(I178="",I178=0,K178=""),"",K178/I178)</f>
        <v/>
      </c>
      <c r="P178" s="16" t="str">
        <f aca="false">IF(B178="","",IF(OR(AND(K178&lt;&gt;"",K178&gt;=設定!$B$7),AND(L178&lt;&gt;"",L178&gt;=設定!$B$8),AND(O178&lt;&gt;"",O178&gt;=設定!$B$9)),"○","×"))</f>
        <v/>
      </c>
      <c r="Q178" s="19"/>
      <c r="R178" s="21" t="str">
        <f aca="false">IF(B178="","",D178&amp;"-"&amp;N(K178))</f>
        <v/>
      </c>
    </row>
    <row r="179" customFormat="false" ht="15" hidden="false" customHeight="false" outlineLevel="0" collapsed="false">
      <c r="A179" s="16" t="n">
        <v>174</v>
      </c>
      <c r="B179" s="17"/>
      <c r="C179" s="16" t="str">
        <f aca="false">IF(B179="","",CHOOSE(WEEKDAY(B179),"日","月","火","水","木","金","土"))</f>
        <v/>
      </c>
      <c r="D179" s="16" t="str">
        <f aca="false">IF(B179="","",INT((B179-設定!$B$6)/7)+1)</f>
        <v/>
      </c>
      <c r="E179" s="18"/>
      <c r="F179" s="18"/>
      <c r="G179" s="19"/>
      <c r="H179" s="19"/>
      <c r="I179" s="18"/>
      <c r="J179" s="18"/>
      <c r="K179" s="18"/>
      <c r="L179" s="18"/>
      <c r="M179" s="18"/>
      <c r="N179" s="18"/>
      <c r="O179" s="20" t="str">
        <f aca="false">IF(OR(I179="",I179=0,K179=""),"",K179/I179)</f>
        <v/>
      </c>
      <c r="P179" s="16" t="str">
        <f aca="false">IF(B179="","",IF(OR(AND(K179&lt;&gt;"",K179&gt;=設定!$B$7),AND(L179&lt;&gt;"",L179&gt;=設定!$B$8),AND(O179&lt;&gt;"",O179&gt;=設定!$B$9)),"○","×"))</f>
        <v/>
      </c>
      <c r="Q179" s="19"/>
      <c r="R179" s="21" t="str">
        <f aca="false">IF(B179="","",D179&amp;"-"&amp;N(K179))</f>
        <v/>
      </c>
    </row>
    <row r="180" customFormat="false" ht="15" hidden="false" customHeight="false" outlineLevel="0" collapsed="false">
      <c r="A180" s="16" t="n">
        <v>175</v>
      </c>
      <c r="B180" s="17"/>
      <c r="C180" s="16" t="str">
        <f aca="false">IF(B180="","",CHOOSE(WEEKDAY(B180),"日","月","火","水","木","金","土"))</f>
        <v/>
      </c>
      <c r="D180" s="16" t="str">
        <f aca="false">IF(B180="","",INT((B180-設定!$B$6)/7)+1)</f>
        <v/>
      </c>
      <c r="E180" s="18"/>
      <c r="F180" s="18"/>
      <c r="G180" s="19"/>
      <c r="H180" s="19"/>
      <c r="I180" s="18"/>
      <c r="J180" s="18"/>
      <c r="K180" s="18"/>
      <c r="L180" s="18"/>
      <c r="M180" s="18"/>
      <c r="N180" s="18"/>
      <c r="O180" s="20" t="str">
        <f aca="false">IF(OR(I180="",I180=0,K180=""),"",K180/I180)</f>
        <v/>
      </c>
      <c r="P180" s="16" t="str">
        <f aca="false">IF(B180="","",IF(OR(AND(K180&lt;&gt;"",K180&gt;=設定!$B$7),AND(L180&lt;&gt;"",L180&gt;=設定!$B$8),AND(O180&lt;&gt;"",O180&gt;=設定!$B$9)),"○","×"))</f>
        <v/>
      </c>
      <c r="Q180" s="19"/>
      <c r="R180" s="21" t="str">
        <f aca="false">IF(B180="","",D180&amp;"-"&amp;N(K180))</f>
        <v/>
      </c>
    </row>
    <row r="181" customFormat="false" ht="15" hidden="false" customHeight="false" outlineLevel="0" collapsed="false">
      <c r="A181" s="16" t="n">
        <v>176</v>
      </c>
      <c r="B181" s="17"/>
      <c r="C181" s="16" t="str">
        <f aca="false">IF(B181="","",CHOOSE(WEEKDAY(B181),"日","月","火","水","木","金","土"))</f>
        <v/>
      </c>
      <c r="D181" s="16" t="str">
        <f aca="false">IF(B181="","",INT((B181-設定!$B$6)/7)+1)</f>
        <v/>
      </c>
      <c r="E181" s="18"/>
      <c r="F181" s="18"/>
      <c r="G181" s="19"/>
      <c r="H181" s="19"/>
      <c r="I181" s="18"/>
      <c r="J181" s="18"/>
      <c r="K181" s="18"/>
      <c r="L181" s="18"/>
      <c r="M181" s="18"/>
      <c r="N181" s="18"/>
      <c r="O181" s="20" t="str">
        <f aca="false">IF(OR(I181="",I181=0,K181=""),"",K181/I181)</f>
        <v/>
      </c>
      <c r="P181" s="16" t="str">
        <f aca="false">IF(B181="","",IF(OR(AND(K181&lt;&gt;"",K181&gt;=設定!$B$7),AND(L181&lt;&gt;"",L181&gt;=設定!$B$8),AND(O181&lt;&gt;"",O181&gt;=設定!$B$9)),"○","×"))</f>
        <v/>
      </c>
      <c r="Q181" s="19"/>
      <c r="R181" s="21" t="str">
        <f aca="false">IF(B181="","",D181&amp;"-"&amp;N(K181))</f>
        <v/>
      </c>
    </row>
    <row r="182" customFormat="false" ht="15" hidden="false" customHeight="false" outlineLevel="0" collapsed="false">
      <c r="A182" s="16" t="n">
        <v>177</v>
      </c>
      <c r="B182" s="17"/>
      <c r="C182" s="16" t="str">
        <f aca="false">IF(B182="","",CHOOSE(WEEKDAY(B182),"日","月","火","水","木","金","土"))</f>
        <v/>
      </c>
      <c r="D182" s="16" t="str">
        <f aca="false">IF(B182="","",INT((B182-設定!$B$6)/7)+1)</f>
        <v/>
      </c>
      <c r="E182" s="18"/>
      <c r="F182" s="18"/>
      <c r="G182" s="19"/>
      <c r="H182" s="19"/>
      <c r="I182" s="18"/>
      <c r="J182" s="18"/>
      <c r="K182" s="18"/>
      <c r="L182" s="18"/>
      <c r="M182" s="18"/>
      <c r="N182" s="18"/>
      <c r="O182" s="20" t="str">
        <f aca="false">IF(OR(I182="",I182=0,K182=""),"",K182/I182)</f>
        <v/>
      </c>
      <c r="P182" s="16" t="str">
        <f aca="false">IF(B182="","",IF(OR(AND(K182&lt;&gt;"",K182&gt;=設定!$B$7),AND(L182&lt;&gt;"",L182&gt;=設定!$B$8),AND(O182&lt;&gt;"",O182&gt;=設定!$B$9)),"○","×"))</f>
        <v/>
      </c>
      <c r="Q182" s="19"/>
      <c r="R182" s="21" t="str">
        <f aca="false">IF(B182="","",D182&amp;"-"&amp;N(K182))</f>
        <v/>
      </c>
    </row>
    <row r="183" customFormat="false" ht="15" hidden="false" customHeight="false" outlineLevel="0" collapsed="false">
      <c r="A183" s="16" t="n">
        <v>178</v>
      </c>
      <c r="B183" s="17"/>
      <c r="C183" s="16" t="str">
        <f aca="false">IF(B183="","",CHOOSE(WEEKDAY(B183),"日","月","火","水","木","金","土"))</f>
        <v/>
      </c>
      <c r="D183" s="16" t="str">
        <f aca="false">IF(B183="","",INT((B183-設定!$B$6)/7)+1)</f>
        <v/>
      </c>
      <c r="E183" s="18"/>
      <c r="F183" s="18"/>
      <c r="G183" s="19"/>
      <c r="H183" s="19"/>
      <c r="I183" s="18"/>
      <c r="J183" s="18"/>
      <c r="K183" s="18"/>
      <c r="L183" s="18"/>
      <c r="M183" s="18"/>
      <c r="N183" s="18"/>
      <c r="O183" s="20" t="str">
        <f aca="false">IF(OR(I183="",I183=0,K183=""),"",K183/I183)</f>
        <v/>
      </c>
      <c r="P183" s="16" t="str">
        <f aca="false">IF(B183="","",IF(OR(AND(K183&lt;&gt;"",K183&gt;=設定!$B$7),AND(L183&lt;&gt;"",L183&gt;=設定!$B$8),AND(O183&lt;&gt;"",O183&gt;=設定!$B$9)),"○","×"))</f>
        <v/>
      </c>
      <c r="Q183" s="19"/>
      <c r="R183" s="21" t="str">
        <f aca="false">IF(B183="","",D183&amp;"-"&amp;N(K183))</f>
        <v/>
      </c>
    </row>
    <row r="184" customFormat="false" ht="15" hidden="false" customHeight="false" outlineLevel="0" collapsed="false">
      <c r="A184" s="16" t="n">
        <v>179</v>
      </c>
      <c r="B184" s="17"/>
      <c r="C184" s="16" t="str">
        <f aca="false">IF(B184="","",CHOOSE(WEEKDAY(B184),"日","月","火","水","木","金","土"))</f>
        <v/>
      </c>
      <c r="D184" s="16" t="str">
        <f aca="false">IF(B184="","",INT((B184-設定!$B$6)/7)+1)</f>
        <v/>
      </c>
      <c r="E184" s="18"/>
      <c r="F184" s="18"/>
      <c r="G184" s="19"/>
      <c r="H184" s="19"/>
      <c r="I184" s="18"/>
      <c r="J184" s="18"/>
      <c r="K184" s="18"/>
      <c r="L184" s="18"/>
      <c r="M184" s="18"/>
      <c r="N184" s="18"/>
      <c r="O184" s="20" t="str">
        <f aca="false">IF(OR(I184="",I184=0,K184=""),"",K184/I184)</f>
        <v/>
      </c>
      <c r="P184" s="16" t="str">
        <f aca="false">IF(B184="","",IF(OR(AND(K184&lt;&gt;"",K184&gt;=設定!$B$7),AND(L184&lt;&gt;"",L184&gt;=設定!$B$8),AND(O184&lt;&gt;"",O184&gt;=設定!$B$9)),"○","×"))</f>
        <v/>
      </c>
      <c r="Q184" s="19"/>
      <c r="R184" s="21" t="str">
        <f aca="false">IF(B184="","",D184&amp;"-"&amp;N(K184))</f>
        <v/>
      </c>
    </row>
    <row r="185" customFormat="false" ht="15" hidden="false" customHeight="false" outlineLevel="0" collapsed="false">
      <c r="A185" s="16" t="n">
        <v>180</v>
      </c>
      <c r="B185" s="17"/>
      <c r="C185" s="16" t="str">
        <f aca="false">IF(B185="","",CHOOSE(WEEKDAY(B185),"日","月","火","水","木","金","土"))</f>
        <v/>
      </c>
      <c r="D185" s="16" t="str">
        <f aca="false">IF(B185="","",INT((B185-設定!$B$6)/7)+1)</f>
        <v/>
      </c>
      <c r="E185" s="18"/>
      <c r="F185" s="18"/>
      <c r="G185" s="19"/>
      <c r="H185" s="19"/>
      <c r="I185" s="18"/>
      <c r="J185" s="18"/>
      <c r="K185" s="18"/>
      <c r="L185" s="18"/>
      <c r="M185" s="18"/>
      <c r="N185" s="18"/>
      <c r="O185" s="20" t="str">
        <f aca="false">IF(OR(I185="",I185=0,K185=""),"",K185/I185)</f>
        <v/>
      </c>
      <c r="P185" s="16" t="str">
        <f aca="false">IF(B185="","",IF(OR(AND(K185&lt;&gt;"",K185&gt;=設定!$B$7),AND(L185&lt;&gt;"",L185&gt;=設定!$B$8),AND(O185&lt;&gt;"",O185&gt;=設定!$B$9)),"○","×"))</f>
        <v/>
      </c>
      <c r="Q185" s="19"/>
      <c r="R185" s="21" t="str">
        <f aca="false">IF(B185="","",D185&amp;"-"&amp;N(K185))</f>
        <v/>
      </c>
    </row>
    <row r="186" customFormat="false" ht="15" hidden="false" customHeight="false" outlineLevel="0" collapsed="false">
      <c r="A186" s="16" t="n">
        <v>181</v>
      </c>
      <c r="B186" s="17"/>
      <c r="C186" s="16" t="str">
        <f aca="false">IF(B186="","",CHOOSE(WEEKDAY(B186),"日","月","火","水","木","金","土"))</f>
        <v/>
      </c>
      <c r="D186" s="16" t="str">
        <f aca="false">IF(B186="","",INT((B186-設定!$B$6)/7)+1)</f>
        <v/>
      </c>
      <c r="E186" s="18"/>
      <c r="F186" s="18"/>
      <c r="G186" s="19"/>
      <c r="H186" s="19"/>
      <c r="I186" s="18"/>
      <c r="J186" s="18"/>
      <c r="K186" s="18"/>
      <c r="L186" s="18"/>
      <c r="M186" s="18"/>
      <c r="N186" s="18"/>
      <c r="O186" s="20" t="str">
        <f aca="false">IF(OR(I186="",I186=0,K186=""),"",K186/I186)</f>
        <v/>
      </c>
      <c r="P186" s="16" t="str">
        <f aca="false">IF(B186="","",IF(OR(AND(K186&lt;&gt;"",K186&gt;=設定!$B$7),AND(L186&lt;&gt;"",L186&gt;=設定!$B$8),AND(O186&lt;&gt;"",O186&gt;=設定!$B$9)),"○","×"))</f>
        <v/>
      </c>
      <c r="Q186" s="19"/>
      <c r="R186" s="21" t="str">
        <f aca="false">IF(B186="","",D186&amp;"-"&amp;N(K186))</f>
        <v/>
      </c>
    </row>
    <row r="187" customFormat="false" ht="15" hidden="false" customHeight="false" outlineLevel="0" collapsed="false">
      <c r="A187" s="16" t="n">
        <v>182</v>
      </c>
      <c r="B187" s="17"/>
      <c r="C187" s="16" t="str">
        <f aca="false">IF(B187="","",CHOOSE(WEEKDAY(B187),"日","月","火","水","木","金","土"))</f>
        <v/>
      </c>
      <c r="D187" s="16" t="str">
        <f aca="false">IF(B187="","",INT((B187-設定!$B$6)/7)+1)</f>
        <v/>
      </c>
      <c r="E187" s="18"/>
      <c r="F187" s="18"/>
      <c r="G187" s="19"/>
      <c r="H187" s="19"/>
      <c r="I187" s="18"/>
      <c r="J187" s="18"/>
      <c r="K187" s="18"/>
      <c r="L187" s="18"/>
      <c r="M187" s="18"/>
      <c r="N187" s="18"/>
      <c r="O187" s="20" t="str">
        <f aca="false">IF(OR(I187="",I187=0,K187=""),"",K187/I187)</f>
        <v/>
      </c>
      <c r="P187" s="16" t="str">
        <f aca="false">IF(B187="","",IF(OR(AND(K187&lt;&gt;"",K187&gt;=設定!$B$7),AND(L187&lt;&gt;"",L187&gt;=設定!$B$8),AND(O187&lt;&gt;"",O187&gt;=設定!$B$9)),"○","×"))</f>
        <v/>
      </c>
      <c r="Q187" s="19"/>
      <c r="R187" s="21" t="str">
        <f aca="false">IF(B187="","",D187&amp;"-"&amp;N(K187))</f>
        <v/>
      </c>
    </row>
    <row r="188" customFormat="false" ht="15" hidden="false" customHeight="false" outlineLevel="0" collapsed="false">
      <c r="A188" s="16" t="n">
        <v>183</v>
      </c>
      <c r="B188" s="17"/>
      <c r="C188" s="16" t="str">
        <f aca="false">IF(B188="","",CHOOSE(WEEKDAY(B188),"日","月","火","水","木","金","土"))</f>
        <v/>
      </c>
      <c r="D188" s="16" t="str">
        <f aca="false">IF(B188="","",INT((B188-設定!$B$6)/7)+1)</f>
        <v/>
      </c>
      <c r="E188" s="18"/>
      <c r="F188" s="18"/>
      <c r="G188" s="19"/>
      <c r="H188" s="19"/>
      <c r="I188" s="18"/>
      <c r="J188" s="18"/>
      <c r="K188" s="18"/>
      <c r="L188" s="18"/>
      <c r="M188" s="18"/>
      <c r="N188" s="18"/>
      <c r="O188" s="20" t="str">
        <f aca="false">IF(OR(I188="",I188=0,K188=""),"",K188/I188)</f>
        <v/>
      </c>
      <c r="P188" s="16" t="str">
        <f aca="false">IF(B188="","",IF(OR(AND(K188&lt;&gt;"",K188&gt;=設定!$B$7),AND(L188&lt;&gt;"",L188&gt;=設定!$B$8),AND(O188&lt;&gt;"",O188&gt;=設定!$B$9)),"○","×"))</f>
        <v/>
      </c>
      <c r="Q188" s="19"/>
      <c r="R188" s="21" t="str">
        <f aca="false">IF(B188="","",D188&amp;"-"&amp;N(K188))</f>
        <v/>
      </c>
    </row>
    <row r="189" customFormat="false" ht="15" hidden="false" customHeight="false" outlineLevel="0" collapsed="false">
      <c r="A189" s="16" t="n">
        <v>184</v>
      </c>
      <c r="B189" s="17"/>
      <c r="C189" s="16" t="str">
        <f aca="false">IF(B189="","",CHOOSE(WEEKDAY(B189),"日","月","火","水","木","金","土"))</f>
        <v/>
      </c>
      <c r="D189" s="16" t="str">
        <f aca="false">IF(B189="","",INT((B189-設定!$B$6)/7)+1)</f>
        <v/>
      </c>
      <c r="E189" s="18"/>
      <c r="F189" s="18"/>
      <c r="G189" s="19"/>
      <c r="H189" s="19"/>
      <c r="I189" s="18"/>
      <c r="J189" s="18"/>
      <c r="K189" s="18"/>
      <c r="L189" s="18"/>
      <c r="M189" s="18"/>
      <c r="N189" s="18"/>
      <c r="O189" s="20" t="str">
        <f aca="false">IF(OR(I189="",I189=0,K189=""),"",K189/I189)</f>
        <v/>
      </c>
      <c r="P189" s="16" t="str">
        <f aca="false">IF(B189="","",IF(OR(AND(K189&lt;&gt;"",K189&gt;=設定!$B$7),AND(L189&lt;&gt;"",L189&gt;=設定!$B$8),AND(O189&lt;&gt;"",O189&gt;=設定!$B$9)),"○","×"))</f>
        <v/>
      </c>
      <c r="Q189" s="19"/>
      <c r="R189" s="21" t="str">
        <f aca="false">IF(B189="","",D189&amp;"-"&amp;N(K189))</f>
        <v/>
      </c>
    </row>
    <row r="190" customFormat="false" ht="15" hidden="false" customHeight="false" outlineLevel="0" collapsed="false">
      <c r="A190" s="16" t="n">
        <v>185</v>
      </c>
      <c r="B190" s="17"/>
      <c r="C190" s="16" t="str">
        <f aca="false">IF(B190="","",CHOOSE(WEEKDAY(B190),"日","月","火","水","木","金","土"))</f>
        <v/>
      </c>
      <c r="D190" s="16" t="str">
        <f aca="false">IF(B190="","",INT((B190-設定!$B$6)/7)+1)</f>
        <v/>
      </c>
      <c r="E190" s="18"/>
      <c r="F190" s="18"/>
      <c r="G190" s="19"/>
      <c r="H190" s="19"/>
      <c r="I190" s="18"/>
      <c r="J190" s="18"/>
      <c r="K190" s="18"/>
      <c r="L190" s="18"/>
      <c r="M190" s="18"/>
      <c r="N190" s="18"/>
      <c r="O190" s="20" t="str">
        <f aca="false">IF(OR(I190="",I190=0,K190=""),"",K190/I190)</f>
        <v/>
      </c>
      <c r="P190" s="16" t="str">
        <f aca="false">IF(B190="","",IF(OR(AND(K190&lt;&gt;"",K190&gt;=設定!$B$7),AND(L190&lt;&gt;"",L190&gt;=設定!$B$8),AND(O190&lt;&gt;"",O190&gt;=設定!$B$9)),"○","×"))</f>
        <v/>
      </c>
      <c r="Q190" s="19"/>
      <c r="R190" s="21" t="str">
        <f aca="false">IF(B190="","",D190&amp;"-"&amp;N(K190))</f>
        <v/>
      </c>
    </row>
    <row r="191" customFormat="false" ht="15" hidden="false" customHeight="false" outlineLevel="0" collapsed="false">
      <c r="A191" s="16" t="n">
        <v>186</v>
      </c>
      <c r="B191" s="17"/>
      <c r="C191" s="16" t="str">
        <f aca="false">IF(B191="","",CHOOSE(WEEKDAY(B191),"日","月","火","水","木","金","土"))</f>
        <v/>
      </c>
      <c r="D191" s="16" t="str">
        <f aca="false">IF(B191="","",INT((B191-設定!$B$6)/7)+1)</f>
        <v/>
      </c>
      <c r="E191" s="18"/>
      <c r="F191" s="18"/>
      <c r="G191" s="19"/>
      <c r="H191" s="19"/>
      <c r="I191" s="18"/>
      <c r="J191" s="18"/>
      <c r="K191" s="18"/>
      <c r="L191" s="18"/>
      <c r="M191" s="18"/>
      <c r="N191" s="18"/>
      <c r="O191" s="20" t="str">
        <f aca="false">IF(OR(I191="",I191=0,K191=""),"",K191/I191)</f>
        <v/>
      </c>
      <c r="P191" s="16" t="str">
        <f aca="false">IF(B191="","",IF(OR(AND(K191&lt;&gt;"",K191&gt;=設定!$B$7),AND(L191&lt;&gt;"",L191&gt;=設定!$B$8),AND(O191&lt;&gt;"",O191&gt;=設定!$B$9)),"○","×"))</f>
        <v/>
      </c>
      <c r="Q191" s="19"/>
      <c r="R191" s="21" t="str">
        <f aca="false">IF(B191="","",D191&amp;"-"&amp;N(K191))</f>
        <v/>
      </c>
    </row>
    <row r="192" customFormat="false" ht="15" hidden="false" customHeight="false" outlineLevel="0" collapsed="false">
      <c r="A192" s="16" t="n">
        <v>187</v>
      </c>
      <c r="B192" s="17"/>
      <c r="C192" s="16" t="str">
        <f aca="false">IF(B192="","",CHOOSE(WEEKDAY(B192),"日","月","火","水","木","金","土"))</f>
        <v/>
      </c>
      <c r="D192" s="16" t="str">
        <f aca="false">IF(B192="","",INT((B192-設定!$B$6)/7)+1)</f>
        <v/>
      </c>
      <c r="E192" s="18"/>
      <c r="F192" s="18"/>
      <c r="G192" s="19"/>
      <c r="H192" s="19"/>
      <c r="I192" s="18"/>
      <c r="J192" s="18"/>
      <c r="K192" s="18"/>
      <c r="L192" s="18"/>
      <c r="M192" s="18"/>
      <c r="N192" s="18"/>
      <c r="O192" s="20" t="str">
        <f aca="false">IF(OR(I192="",I192=0,K192=""),"",K192/I192)</f>
        <v/>
      </c>
      <c r="P192" s="16" t="str">
        <f aca="false">IF(B192="","",IF(OR(AND(K192&lt;&gt;"",K192&gt;=設定!$B$7),AND(L192&lt;&gt;"",L192&gt;=設定!$B$8),AND(O192&lt;&gt;"",O192&gt;=設定!$B$9)),"○","×"))</f>
        <v/>
      </c>
      <c r="Q192" s="19"/>
      <c r="R192" s="21" t="str">
        <f aca="false">IF(B192="","",D192&amp;"-"&amp;N(K192))</f>
        <v/>
      </c>
    </row>
    <row r="193" customFormat="false" ht="15" hidden="false" customHeight="false" outlineLevel="0" collapsed="false">
      <c r="A193" s="16" t="n">
        <v>188</v>
      </c>
      <c r="B193" s="17"/>
      <c r="C193" s="16" t="str">
        <f aca="false">IF(B193="","",CHOOSE(WEEKDAY(B193),"日","月","火","水","木","金","土"))</f>
        <v/>
      </c>
      <c r="D193" s="16" t="str">
        <f aca="false">IF(B193="","",INT((B193-設定!$B$6)/7)+1)</f>
        <v/>
      </c>
      <c r="E193" s="18"/>
      <c r="F193" s="18"/>
      <c r="G193" s="19"/>
      <c r="H193" s="19"/>
      <c r="I193" s="18"/>
      <c r="J193" s="18"/>
      <c r="K193" s="18"/>
      <c r="L193" s="18"/>
      <c r="M193" s="18"/>
      <c r="N193" s="18"/>
      <c r="O193" s="20" t="str">
        <f aca="false">IF(OR(I193="",I193=0,K193=""),"",K193/I193)</f>
        <v/>
      </c>
      <c r="P193" s="16" t="str">
        <f aca="false">IF(B193="","",IF(OR(AND(K193&lt;&gt;"",K193&gt;=設定!$B$7),AND(L193&lt;&gt;"",L193&gt;=設定!$B$8),AND(O193&lt;&gt;"",O193&gt;=設定!$B$9)),"○","×"))</f>
        <v/>
      </c>
      <c r="Q193" s="19"/>
      <c r="R193" s="21" t="str">
        <f aca="false">IF(B193="","",D193&amp;"-"&amp;N(K193))</f>
        <v/>
      </c>
    </row>
    <row r="194" customFormat="false" ht="15" hidden="false" customHeight="false" outlineLevel="0" collapsed="false">
      <c r="A194" s="16" t="n">
        <v>189</v>
      </c>
      <c r="B194" s="17"/>
      <c r="C194" s="16" t="str">
        <f aca="false">IF(B194="","",CHOOSE(WEEKDAY(B194),"日","月","火","水","木","金","土"))</f>
        <v/>
      </c>
      <c r="D194" s="16" t="str">
        <f aca="false">IF(B194="","",INT((B194-設定!$B$6)/7)+1)</f>
        <v/>
      </c>
      <c r="E194" s="18"/>
      <c r="F194" s="18"/>
      <c r="G194" s="19"/>
      <c r="H194" s="19"/>
      <c r="I194" s="18"/>
      <c r="J194" s="18"/>
      <c r="K194" s="18"/>
      <c r="L194" s="18"/>
      <c r="M194" s="18"/>
      <c r="N194" s="18"/>
      <c r="O194" s="20" t="str">
        <f aca="false">IF(OR(I194="",I194=0,K194=""),"",K194/I194)</f>
        <v/>
      </c>
      <c r="P194" s="16" t="str">
        <f aca="false">IF(B194="","",IF(OR(AND(K194&lt;&gt;"",K194&gt;=設定!$B$7),AND(L194&lt;&gt;"",L194&gt;=設定!$B$8),AND(O194&lt;&gt;"",O194&gt;=設定!$B$9)),"○","×"))</f>
        <v/>
      </c>
      <c r="Q194" s="19"/>
      <c r="R194" s="21" t="str">
        <f aca="false">IF(B194="","",D194&amp;"-"&amp;N(K194))</f>
        <v/>
      </c>
    </row>
    <row r="195" customFormat="false" ht="15" hidden="false" customHeight="false" outlineLevel="0" collapsed="false">
      <c r="A195" s="16" t="n">
        <v>190</v>
      </c>
      <c r="B195" s="17"/>
      <c r="C195" s="16" t="str">
        <f aca="false">IF(B195="","",CHOOSE(WEEKDAY(B195),"日","月","火","水","木","金","土"))</f>
        <v/>
      </c>
      <c r="D195" s="16" t="str">
        <f aca="false">IF(B195="","",INT((B195-設定!$B$6)/7)+1)</f>
        <v/>
      </c>
      <c r="E195" s="18"/>
      <c r="F195" s="18"/>
      <c r="G195" s="19"/>
      <c r="H195" s="19"/>
      <c r="I195" s="18"/>
      <c r="J195" s="18"/>
      <c r="K195" s="18"/>
      <c r="L195" s="18"/>
      <c r="M195" s="18"/>
      <c r="N195" s="18"/>
      <c r="O195" s="20" t="str">
        <f aca="false">IF(OR(I195="",I195=0,K195=""),"",K195/I195)</f>
        <v/>
      </c>
      <c r="P195" s="16" t="str">
        <f aca="false">IF(B195="","",IF(OR(AND(K195&lt;&gt;"",K195&gt;=設定!$B$7),AND(L195&lt;&gt;"",L195&gt;=設定!$B$8),AND(O195&lt;&gt;"",O195&gt;=設定!$B$9)),"○","×"))</f>
        <v/>
      </c>
      <c r="Q195" s="19"/>
      <c r="R195" s="21" t="str">
        <f aca="false">IF(B195="","",D195&amp;"-"&amp;N(K195))</f>
        <v/>
      </c>
    </row>
    <row r="196" customFormat="false" ht="15" hidden="false" customHeight="false" outlineLevel="0" collapsed="false">
      <c r="A196" s="16" t="n">
        <v>191</v>
      </c>
      <c r="B196" s="17"/>
      <c r="C196" s="16" t="str">
        <f aca="false">IF(B196="","",CHOOSE(WEEKDAY(B196),"日","月","火","水","木","金","土"))</f>
        <v/>
      </c>
      <c r="D196" s="16" t="str">
        <f aca="false">IF(B196="","",INT((B196-設定!$B$6)/7)+1)</f>
        <v/>
      </c>
      <c r="E196" s="18"/>
      <c r="F196" s="18"/>
      <c r="G196" s="19"/>
      <c r="H196" s="19"/>
      <c r="I196" s="18"/>
      <c r="J196" s="18"/>
      <c r="K196" s="18"/>
      <c r="L196" s="18"/>
      <c r="M196" s="18"/>
      <c r="N196" s="18"/>
      <c r="O196" s="20" t="str">
        <f aca="false">IF(OR(I196="",I196=0,K196=""),"",K196/I196)</f>
        <v/>
      </c>
      <c r="P196" s="16" t="str">
        <f aca="false">IF(B196="","",IF(OR(AND(K196&lt;&gt;"",K196&gt;=設定!$B$7),AND(L196&lt;&gt;"",L196&gt;=設定!$B$8),AND(O196&lt;&gt;"",O196&gt;=設定!$B$9)),"○","×"))</f>
        <v/>
      </c>
      <c r="Q196" s="19"/>
      <c r="R196" s="21" t="str">
        <f aca="false">IF(B196="","",D196&amp;"-"&amp;N(K196))</f>
        <v/>
      </c>
    </row>
    <row r="197" customFormat="false" ht="15" hidden="false" customHeight="false" outlineLevel="0" collapsed="false">
      <c r="A197" s="16" t="n">
        <v>192</v>
      </c>
      <c r="B197" s="17"/>
      <c r="C197" s="16" t="str">
        <f aca="false">IF(B197="","",CHOOSE(WEEKDAY(B197),"日","月","火","水","木","金","土"))</f>
        <v/>
      </c>
      <c r="D197" s="16" t="str">
        <f aca="false">IF(B197="","",INT((B197-設定!$B$6)/7)+1)</f>
        <v/>
      </c>
      <c r="E197" s="18"/>
      <c r="F197" s="18"/>
      <c r="G197" s="19"/>
      <c r="H197" s="19"/>
      <c r="I197" s="18"/>
      <c r="J197" s="18"/>
      <c r="K197" s="18"/>
      <c r="L197" s="18"/>
      <c r="M197" s="18"/>
      <c r="N197" s="18"/>
      <c r="O197" s="20" t="str">
        <f aca="false">IF(OR(I197="",I197=0,K197=""),"",K197/I197)</f>
        <v/>
      </c>
      <c r="P197" s="16" t="str">
        <f aca="false">IF(B197="","",IF(OR(AND(K197&lt;&gt;"",K197&gt;=設定!$B$7),AND(L197&lt;&gt;"",L197&gt;=設定!$B$8),AND(O197&lt;&gt;"",O197&gt;=設定!$B$9)),"○","×"))</f>
        <v/>
      </c>
      <c r="Q197" s="19"/>
      <c r="R197" s="21" t="str">
        <f aca="false">IF(B197="","",D197&amp;"-"&amp;N(K197))</f>
        <v/>
      </c>
    </row>
    <row r="198" customFormat="false" ht="15" hidden="false" customHeight="false" outlineLevel="0" collapsed="false">
      <c r="A198" s="16" t="n">
        <v>193</v>
      </c>
      <c r="B198" s="17"/>
      <c r="C198" s="16" t="str">
        <f aca="false">IF(B198="","",CHOOSE(WEEKDAY(B198),"日","月","火","水","木","金","土"))</f>
        <v/>
      </c>
      <c r="D198" s="16" t="str">
        <f aca="false">IF(B198="","",INT((B198-設定!$B$6)/7)+1)</f>
        <v/>
      </c>
      <c r="E198" s="18"/>
      <c r="F198" s="18"/>
      <c r="G198" s="19"/>
      <c r="H198" s="19"/>
      <c r="I198" s="18"/>
      <c r="J198" s="18"/>
      <c r="K198" s="18"/>
      <c r="L198" s="18"/>
      <c r="M198" s="18"/>
      <c r="N198" s="18"/>
      <c r="O198" s="20" t="str">
        <f aca="false">IF(OR(I198="",I198=0,K198=""),"",K198/I198)</f>
        <v/>
      </c>
      <c r="P198" s="16" t="str">
        <f aca="false">IF(B198="","",IF(OR(AND(K198&lt;&gt;"",K198&gt;=設定!$B$7),AND(L198&lt;&gt;"",L198&gt;=設定!$B$8),AND(O198&lt;&gt;"",O198&gt;=設定!$B$9)),"○","×"))</f>
        <v/>
      </c>
      <c r="Q198" s="19"/>
      <c r="R198" s="21" t="str">
        <f aca="false">IF(B198="","",D198&amp;"-"&amp;N(K198))</f>
        <v/>
      </c>
    </row>
    <row r="199" customFormat="false" ht="15" hidden="false" customHeight="false" outlineLevel="0" collapsed="false">
      <c r="A199" s="16" t="n">
        <v>194</v>
      </c>
      <c r="B199" s="17"/>
      <c r="C199" s="16" t="str">
        <f aca="false">IF(B199="","",CHOOSE(WEEKDAY(B199),"日","月","火","水","木","金","土"))</f>
        <v/>
      </c>
      <c r="D199" s="16" t="str">
        <f aca="false">IF(B199="","",INT((B199-設定!$B$6)/7)+1)</f>
        <v/>
      </c>
      <c r="E199" s="18"/>
      <c r="F199" s="18"/>
      <c r="G199" s="19"/>
      <c r="H199" s="19"/>
      <c r="I199" s="18"/>
      <c r="J199" s="18"/>
      <c r="K199" s="18"/>
      <c r="L199" s="18"/>
      <c r="M199" s="18"/>
      <c r="N199" s="18"/>
      <c r="O199" s="20" t="str">
        <f aca="false">IF(OR(I199="",I199=0,K199=""),"",K199/I199)</f>
        <v/>
      </c>
      <c r="P199" s="16" t="str">
        <f aca="false">IF(B199="","",IF(OR(AND(K199&lt;&gt;"",K199&gt;=設定!$B$7),AND(L199&lt;&gt;"",L199&gt;=設定!$B$8),AND(O199&lt;&gt;"",O199&gt;=設定!$B$9)),"○","×"))</f>
        <v/>
      </c>
      <c r="Q199" s="19"/>
      <c r="R199" s="21" t="str">
        <f aca="false">IF(B199="","",D199&amp;"-"&amp;N(K199))</f>
        <v/>
      </c>
    </row>
    <row r="200" customFormat="false" ht="15" hidden="false" customHeight="false" outlineLevel="0" collapsed="false">
      <c r="A200" s="16" t="n">
        <v>195</v>
      </c>
      <c r="B200" s="17"/>
      <c r="C200" s="16" t="str">
        <f aca="false">IF(B200="","",CHOOSE(WEEKDAY(B200),"日","月","火","水","木","金","土"))</f>
        <v/>
      </c>
      <c r="D200" s="16" t="str">
        <f aca="false">IF(B200="","",INT((B200-設定!$B$6)/7)+1)</f>
        <v/>
      </c>
      <c r="E200" s="18"/>
      <c r="F200" s="18"/>
      <c r="G200" s="19"/>
      <c r="H200" s="19"/>
      <c r="I200" s="18"/>
      <c r="J200" s="18"/>
      <c r="K200" s="18"/>
      <c r="L200" s="18"/>
      <c r="M200" s="18"/>
      <c r="N200" s="18"/>
      <c r="O200" s="20" t="str">
        <f aca="false">IF(OR(I200="",I200=0,K200=""),"",K200/I200)</f>
        <v/>
      </c>
      <c r="P200" s="16" t="str">
        <f aca="false">IF(B200="","",IF(OR(AND(K200&lt;&gt;"",K200&gt;=設定!$B$7),AND(L200&lt;&gt;"",L200&gt;=設定!$B$8),AND(O200&lt;&gt;"",O200&gt;=設定!$B$9)),"○","×"))</f>
        <v/>
      </c>
      <c r="Q200" s="19"/>
      <c r="R200" s="21" t="str">
        <f aca="false">IF(B200="","",D200&amp;"-"&amp;N(K200))</f>
        <v/>
      </c>
    </row>
    <row r="201" customFormat="false" ht="15" hidden="false" customHeight="false" outlineLevel="0" collapsed="false">
      <c r="A201" s="16" t="n">
        <v>196</v>
      </c>
      <c r="B201" s="17"/>
      <c r="C201" s="16" t="str">
        <f aca="false">IF(B201="","",CHOOSE(WEEKDAY(B201),"日","月","火","水","木","金","土"))</f>
        <v/>
      </c>
      <c r="D201" s="16" t="str">
        <f aca="false">IF(B201="","",INT((B201-設定!$B$6)/7)+1)</f>
        <v/>
      </c>
      <c r="E201" s="18"/>
      <c r="F201" s="18"/>
      <c r="G201" s="19"/>
      <c r="H201" s="19"/>
      <c r="I201" s="18"/>
      <c r="J201" s="18"/>
      <c r="K201" s="18"/>
      <c r="L201" s="18"/>
      <c r="M201" s="18"/>
      <c r="N201" s="18"/>
      <c r="O201" s="20" t="str">
        <f aca="false">IF(OR(I201="",I201=0,K201=""),"",K201/I201)</f>
        <v/>
      </c>
      <c r="P201" s="16" t="str">
        <f aca="false">IF(B201="","",IF(OR(AND(K201&lt;&gt;"",K201&gt;=設定!$B$7),AND(L201&lt;&gt;"",L201&gt;=設定!$B$8),AND(O201&lt;&gt;"",O201&gt;=設定!$B$9)),"○","×"))</f>
        <v/>
      </c>
      <c r="Q201" s="19"/>
      <c r="R201" s="21" t="str">
        <f aca="false">IF(B201="","",D201&amp;"-"&amp;N(K201))</f>
        <v/>
      </c>
    </row>
    <row r="202" customFormat="false" ht="15" hidden="false" customHeight="false" outlineLevel="0" collapsed="false">
      <c r="A202" s="16" t="n">
        <v>197</v>
      </c>
      <c r="B202" s="17"/>
      <c r="C202" s="16" t="str">
        <f aca="false">IF(B202="","",CHOOSE(WEEKDAY(B202),"日","月","火","水","木","金","土"))</f>
        <v/>
      </c>
      <c r="D202" s="16" t="str">
        <f aca="false">IF(B202="","",INT((B202-設定!$B$6)/7)+1)</f>
        <v/>
      </c>
      <c r="E202" s="18"/>
      <c r="F202" s="18"/>
      <c r="G202" s="19"/>
      <c r="H202" s="19"/>
      <c r="I202" s="18"/>
      <c r="J202" s="18"/>
      <c r="K202" s="18"/>
      <c r="L202" s="18"/>
      <c r="M202" s="18"/>
      <c r="N202" s="18"/>
      <c r="O202" s="20" t="str">
        <f aca="false">IF(OR(I202="",I202=0,K202=""),"",K202/I202)</f>
        <v/>
      </c>
      <c r="P202" s="16" t="str">
        <f aca="false">IF(B202="","",IF(OR(AND(K202&lt;&gt;"",K202&gt;=設定!$B$7),AND(L202&lt;&gt;"",L202&gt;=設定!$B$8),AND(O202&lt;&gt;"",O202&gt;=設定!$B$9)),"○","×"))</f>
        <v/>
      </c>
      <c r="Q202" s="19"/>
      <c r="R202" s="21" t="str">
        <f aca="false">IF(B202="","",D202&amp;"-"&amp;N(K202))</f>
        <v/>
      </c>
    </row>
    <row r="203" customFormat="false" ht="15" hidden="false" customHeight="false" outlineLevel="0" collapsed="false">
      <c r="A203" s="16" t="n">
        <v>198</v>
      </c>
      <c r="B203" s="17"/>
      <c r="C203" s="16" t="str">
        <f aca="false">IF(B203="","",CHOOSE(WEEKDAY(B203),"日","月","火","水","木","金","土"))</f>
        <v/>
      </c>
      <c r="D203" s="16" t="str">
        <f aca="false">IF(B203="","",INT((B203-設定!$B$6)/7)+1)</f>
        <v/>
      </c>
      <c r="E203" s="18"/>
      <c r="F203" s="18"/>
      <c r="G203" s="19"/>
      <c r="H203" s="19"/>
      <c r="I203" s="18"/>
      <c r="J203" s="18"/>
      <c r="K203" s="18"/>
      <c r="L203" s="18"/>
      <c r="M203" s="18"/>
      <c r="N203" s="18"/>
      <c r="O203" s="20" t="str">
        <f aca="false">IF(OR(I203="",I203=0,K203=""),"",K203/I203)</f>
        <v/>
      </c>
      <c r="P203" s="16" t="str">
        <f aca="false">IF(B203="","",IF(OR(AND(K203&lt;&gt;"",K203&gt;=設定!$B$7),AND(L203&lt;&gt;"",L203&gt;=設定!$B$8),AND(O203&lt;&gt;"",O203&gt;=設定!$B$9)),"○","×"))</f>
        <v/>
      </c>
      <c r="Q203" s="19"/>
      <c r="R203" s="21" t="str">
        <f aca="false">IF(B203="","",D203&amp;"-"&amp;N(K203))</f>
        <v/>
      </c>
    </row>
    <row r="204" customFormat="false" ht="15" hidden="false" customHeight="false" outlineLevel="0" collapsed="false">
      <c r="A204" s="16" t="n">
        <v>199</v>
      </c>
      <c r="B204" s="17"/>
      <c r="C204" s="16" t="str">
        <f aca="false">IF(B204="","",CHOOSE(WEEKDAY(B204),"日","月","火","水","木","金","土"))</f>
        <v/>
      </c>
      <c r="D204" s="16" t="str">
        <f aca="false">IF(B204="","",INT((B204-設定!$B$6)/7)+1)</f>
        <v/>
      </c>
      <c r="E204" s="18"/>
      <c r="F204" s="18"/>
      <c r="G204" s="19"/>
      <c r="H204" s="19"/>
      <c r="I204" s="18"/>
      <c r="J204" s="18"/>
      <c r="K204" s="18"/>
      <c r="L204" s="18"/>
      <c r="M204" s="18"/>
      <c r="N204" s="18"/>
      <c r="O204" s="20" t="str">
        <f aca="false">IF(OR(I204="",I204=0,K204=""),"",K204/I204)</f>
        <v/>
      </c>
      <c r="P204" s="16" t="str">
        <f aca="false">IF(B204="","",IF(OR(AND(K204&lt;&gt;"",K204&gt;=設定!$B$7),AND(L204&lt;&gt;"",L204&gt;=設定!$B$8),AND(O204&lt;&gt;"",O204&gt;=設定!$B$9)),"○","×"))</f>
        <v/>
      </c>
      <c r="Q204" s="19"/>
      <c r="R204" s="21" t="str">
        <f aca="false">IF(B204="","",D204&amp;"-"&amp;N(K204))</f>
        <v/>
      </c>
    </row>
    <row r="205" customFormat="false" ht="15" hidden="false" customHeight="false" outlineLevel="0" collapsed="false">
      <c r="A205" s="16" t="n">
        <v>200</v>
      </c>
      <c r="B205" s="17"/>
      <c r="C205" s="16" t="str">
        <f aca="false">IF(B205="","",CHOOSE(WEEKDAY(B205),"日","月","火","水","木","金","土"))</f>
        <v/>
      </c>
      <c r="D205" s="16" t="str">
        <f aca="false">IF(B205="","",INT((B205-設定!$B$6)/7)+1)</f>
        <v/>
      </c>
      <c r="E205" s="18"/>
      <c r="F205" s="18"/>
      <c r="G205" s="19"/>
      <c r="H205" s="19"/>
      <c r="I205" s="18"/>
      <c r="J205" s="18"/>
      <c r="K205" s="18"/>
      <c r="L205" s="18"/>
      <c r="M205" s="18"/>
      <c r="N205" s="18"/>
      <c r="O205" s="20" t="str">
        <f aca="false">IF(OR(I205="",I205=0,K205=""),"",K205/I205)</f>
        <v/>
      </c>
      <c r="P205" s="16" t="str">
        <f aca="false">IF(B205="","",IF(OR(AND(K205&lt;&gt;"",K205&gt;=設定!$B$7),AND(L205&lt;&gt;"",L205&gt;=設定!$B$8),AND(O205&lt;&gt;"",O205&gt;=設定!$B$9)),"○","×"))</f>
        <v/>
      </c>
      <c r="Q205" s="19"/>
      <c r="R205" s="21" t="str">
        <f aca="false">IF(B205="","",D205&amp;"-"&amp;N(K205))</f>
        <v/>
      </c>
    </row>
  </sheetData>
  <conditionalFormatting sqref="P6:P205">
    <cfRule type="expression" priority="2" aboveAverage="0" equalAverage="0" bottom="0" percent="0" rank="0" text="" dxfId="0">
      <formula>$P6="○"</formula>
    </cfRule>
  </conditionalFormatting>
  <conditionalFormatting sqref="A6:Q205">
    <cfRule type="expression" priority="3" aboveAverage="0" equalAverage="0" bottom="0" percent="0" rank="0" text="" dxfId="1">
      <formula>$P6="○"</formula>
    </cfRule>
  </conditionalFormatting>
  <dataValidations count="3">
    <dataValidation allowBlank="true" errorStyle="stop" operator="between" showDropDown="false" showErrorMessage="false" showInputMessage="false" sqref="E6:E205" type="list">
      <formula1>"場面→工夫型,ビフォーアフター型,失敗談型,比べてみた型,問いかけ型,お返事投稿"</formula1>
      <formula2>0</formula2>
    </dataValidation>
    <dataValidation allowBlank="true" errorStyle="stop" operator="between" showDropDown="false" showErrorMessage="false" showInputMessage="false" sqref="F6:F205" type="list">
      <formula1>"①場面の独り言,②本音の告白,③小さな数字,④意外な否定,⑤問いかけ"</formula1>
      <formula2>0</formula2>
    </dataValidation>
    <dataValidation allowBlank="true" errorStyle="stop" operator="between" showDropDown="false" showErrorMessage="false" showInputMessage="false" sqref="M6:M205" type="list">
      <formula1>"はい,いいえ"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8"/>
    <col collapsed="false" customWidth="true" hidden="false" outlineLevel="0" max="6" min="4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5" t="s">
        <v>15</v>
      </c>
      <c r="B4" s="5" t="s">
        <v>73</v>
      </c>
      <c r="C4" s="5" t="s">
        <v>74</v>
      </c>
      <c r="D4" s="5" t="s">
        <v>75</v>
      </c>
      <c r="E4" s="5" t="s">
        <v>76</v>
      </c>
      <c r="F4" s="5" t="s">
        <v>77</v>
      </c>
      <c r="G4" s="5" t="s">
        <v>78</v>
      </c>
      <c r="H4" s="5" t="s">
        <v>79</v>
      </c>
      <c r="I4" s="5" t="s">
        <v>80</v>
      </c>
    </row>
    <row r="5" customFormat="false" ht="15" hidden="false" customHeight="false" outlineLevel="0" collapsed="false">
      <c r="A5" s="22" t="s">
        <v>27</v>
      </c>
      <c r="B5" s="22" t="n">
        <f aca="false">COUNTIF(記録!$E$6:$E$205,A5)</f>
        <v>0</v>
      </c>
      <c r="C5" s="22" t="n">
        <f aca="false">COUNTIFS(記録!$E$6:$E$205,A5,記録!$P$6:$P$205,"○")</f>
        <v>0</v>
      </c>
      <c r="D5" s="23" t="str">
        <f aca="false">IF(B5=0,"",C5/B5)</f>
        <v/>
      </c>
      <c r="E5" s="24" t="str">
        <f aca="false">IFERROR(AVERAGEIFS(記録!$I$6:$I$205,記録!$E$6:$E$205,A5),"")</f>
        <v/>
      </c>
      <c r="F5" s="24" t="str">
        <f aca="false">IFERROR(AVERAGEIFS(記録!$K$6:$K$205,記録!$E$6:$E$205,A5),"")</f>
        <v/>
      </c>
      <c r="G5" s="24" t="str">
        <f aca="false">IFERROR(AVERAGEIFS(記録!$L$6:$L$205,記録!$E$6:$E$205,A5),"")</f>
        <v/>
      </c>
      <c r="H5" s="20" t="str">
        <f aca="false">IFERROR(AVERAGEIFS(記録!$O$6:$O$205,記録!$E$6:$E$205,A5),"")</f>
        <v/>
      </c>
      <c r="I5" s="11" t="str">
        <f aca="false">IF(B5&lt;3,"データ不足（3本以上で判定）",IF(D5&gt;=0.4,"◎ 効いている。来週も使う",IF(D5&gt;=0.2,"○ まずまず","△ 1行目か場面を見直す")))</f>
        <v>データ不足（3本以上で判定）</v>
      </c>
    </row>
    <row r="6" customFormat="false" ht="15" hidden="false" customHeight="false" outlineLevel="0" collapsed="false">
      <c r="A6" s="22" t="s">
        <v>81</v>
      </c>
      <c r="B6" s="22" t="n">
        <f aca="false">COUNTIF(記録!$E$6:$E$205,A6)</f>
        <v>0</v>
      </c>
      <c r="C6" s="22" t="n">
        <f aca="false">COUNTIFS(記録!$E$6:$E$205,A6,記録!$P$6:$P$205,"○")</f>
        <v>0</v>
      </c>
      <c r="D6" s="23" t="str">
        <f aca="false">IF(B6=0,"",C6/B6)</f>
        <v/>
      </c>
      <c r="E6" s="24" t="str">
        <f aca="false">IFERROR(AVERAGEIFS(記録!$I$6:$I$205,記録!$E$6:$E$205,A6),"")</f>
        <v/>
      </c>
      <c r="F6" s="24" t="str">
        <f aca="false">IFERROR(AVERAGEIFS(記録!$K$6:$K$205,記録!$E$6:$E$205,A6),"")</f>
        <v/>
      </c>
      <c r="G6" s="24" t="str">
        <f aca="false">IFERROR(AVERAGEIFS(記録!$L$6:$L$205,記録!$E$6:$E$205,A6),"")</f>
        <v/>
      </c>
      <c r="H6" s="20" t="str">
        <f aca="false">IFERROR(AVERAGEIFS(記録!$O$6:$O$205,記録!$E$6:$E$205,A6),"")</f>
        <v/>
      </c>
      <c r="I6" s="11" t="str">
        <f aca="false">IF(B6&lt;3,"データ不足（3本以上で判定）",IF(D6&gt;=0.4,"◎ 効いている。来週も使う",IF(D6&gt;=0.2,"○ まずまず","△ 1行目か場面を見直す")))</f>
        <v>データ不足（3本以上で判定）</v>
      </c>
    </row>
    <row r="7" customFormat="false" ht="15" hidden="false" customHeight="false" outlineLevel="0" collapsed="false">
      <c r="A7" s="22" t="s">
        <v>82</v>
      </c>
      <c r="B7" s="22" t="n">
        <f aca="false">COUNTIF(記録!$E$6:$E$205,A7)</f>
        <v>0</v>
      </c>
      <c r="C7" s="22" t="n">
        <f aca="false">COUNTIFS(記録!$E$6:$E$205,A7,記録!$P$6:$P$205,"○")</f>
        <v>0</v>
      </c>
      <c r="D7" s="23" t="str">
        <f aca="false">IF(B7=0,"",C7/B7)</f>
        <v/>
      </c>
      <c r="E7" s="24" t="str">
        <f aca="false">IFERROR(AVERAGEIFS(記録!$I$6:$I$205,記録!$E$6:$E$205,A7),"")</f>
        <v/>
      </c>
      <c r="F7" s="24" t="str">
        <f aca="false">IFERROR(AVERAGEIFS(記録!$K$6:$K$205,記録!$E$6:$E$205,A7),"")</f>
        <v/>
      </c>
      <c r="G7" s="24" t="str">
        <f aca="false">IFERROR(AVERAGEIFS(記録!$L$6:$L$205,記録!$E$6:$E$205,A7),"")</f>
        <v/>
      </c>
      <c r="H7" s="20" t="str">
        <f aca="false">IFERROR(AVERAGEIFS(記録!$O$6:$O$205,記録!$E$6:$E$205,A7),"")</f>
        <v/>
      </c>
      <c r="I7" s="11" t="str">
        <f aca="false">IF(B7&lt;3,"データ不足（3本以上で判定）",IF(D7&gt;=0.4,"◎ 効いている。来週も使う",IF(D7&gt;=0.2,"○ まずまず","△ 1行目か場面を見直す")))</f>
        <v>データ不足（3本以上で判定）</v>
      </c>
    </row>
    <row r="8" customFormat="false" ht="15" hidden="false" customHeight="false" outlineLevel="0" collapsed="false">
      <c r="A8" s="22" t="s">
        <v>83</v>
      </c>
      <c r="B8" s="22" t="n">
        <f aca="false">COUNTIF(記録!$E$6:$E$205,A8)</f>
        <v>0</v>
      </c>
      <c r="C8" s="22" t="n">
        <f aca="false">COUNTIFS(記録!$E$6:$E$205,A8,記録!$P$6:$P$205,"○")</f>
        <v>0</v>
      </c>
      <c r="D8" s="23" t="str">
        <f aca="false">IF(B8=0,"",C8/B8)</f>
        <v/>
      </c>
      <c r="E8" s="24" t="str">
        <f aca="false">IFERROR(AVERAGEIFS(記録!$I$6:$I$205,記録!$E$6:$E$205,A8),"")</f>
        <v/>
      </c>
      <c r="F8" s="24" t="str">
        <f aca="false">IFERROR(AVERAGEIFS(記録!$K$6:$K$205,記録!$E$6:$E$205,A8),"")</f>
        <v/>
      </c>
      <c r="G8" s="24" t="str">
        <f aca="false">IFERROR(AVERAGEIFS(記録!$L$6:$L$205,記録!$E$6:$E$205,A8),"")</f>
        <v/>
      </c>
      <c r="H8" s="20" t="str">
        <f aca="false">IFERROR(AVERAGEIFS(記録!$O$6:$O$205,記録!$E$6:$E$205,A8),"")</f>
        <v/>
      </c>
      <c r="I8" s="11" t="str">
        <f aca="false">IF(B8&lt;3,"データ不足（3本以上で判定）",IF(D8&gt;=0.4,"◎ 効いている。来週も使う",IF(D8&gt;=0.2,"○ まずまず","△ 1行目か場面を見直す")))</f>
        <v>データ不足（3本以上で判定）</v>
      </c>
    </row>
    <row r="9" customFormat="false" ht="15" hidden="false" customHeight="false" outlineLevel="0" collapsed="false">
      <c r="A9" s="22" t="s">
        <v>84</v>
      </c>
      <c r="B9" s="22" t="n">
        <f aca="false">COUNTIF(記録!$E$6:$E$205,A9)</f>
        <v>0</v>
      </c>
      <c r="C9" s="22" t="n">
        <f aca="false">COUNTIFS(記録!$E$6:$E$205,A9,記録!$P$6:$P$205,"○")</f>
        <v>0</v>
      </c>
      <c r="D9" s="23" t="str">
        <f aca="false">IF(B9=0,"",C9/B9)</f>
        <v/>
      </c>
      <c r="E9" s="24" t="str">
        <f aca="false">IFERROR(AVERAGEIFS(記録!$I$6:$I$205,記録!$E$6:$E$205,A9),"")</f>
        <v/>
      </c>
      <c r="F9" s="24" t="str">
        <f aca="false">IFERROR(AVERAGEIFS(記録!$K$6:$K$205,記録!$E$6:$E$205,A9),"")</f>
        <v/>
      </c>
      <c r="G9" s="24" t="str">
        <f aca="false">IFERROR(AVERAGEIFS(記録!$L$6:$L$205,記録!$E$6:$E$205,A9),"")</f>
        <v/>
      </c>
      <c r="H9" s="20" t="str">
        <f aca="false">IFERROR(AVERAGEIFS(記録!$O$6:$O$205,記録!$E$6:$E$205,A9),"")</f>
        <v/>
      </c>
      <c r="I9" s="11" t="str">
        <f aca="false">IF(B9&lt;3,"データ不足（3本以上で判定）",IF(D9&gt;=0.4,"◎ 効いている。来週も使う",IF(D9&gt;=0.2,"○ まずまず","△ 1行目か場面を見直す")))</f>
        <v>データ不足（3本以上で判定）</v>
      </c>
    </row>
    <row r="10" customFormat="false" ht="15" hidden="false" customHeight="false" outlineLevel="0" collapsed="false">
      <c r="A10" s="22" t="s">
        <v>85</v>
      </c>
      <c r="B10" s="22" t="n">
        <f aca="false">COUNTIF(記録!$E$6:$E$205,A10)</f>
        <v>0</v>
      </c>
      <c r="C10" s="22" t="n">
        <f aca="false">COUNTIFS(記録!$E$6:$E$205,A10,記録!$P$6:$P$205,"○")</f>
        <v>0</v>
      </c>
      <c r="D10" s="23" t="str">
        <f aca="false">IF(B10=0,"",C10/B10)</f>
        <v/>
      </c>
      <c r="E10" s="24" t="str">
        <f aca="false">IFERROR(AVERAGEIFS(記録!$I$6:$I$205,記録!$E$6:$E$205,A10),"")</f>
        <v/>
      </c>
      <c r="F10" s="24" t="str">
        <f aca="false">IFERROR(AVERAGEIFS(記録!$K$6:$K$205,記録!$E$6:$E$205,A10),"")</f>
        <v/>
      </c>
      <c r="G10" s="24" t="str">
        <f aca="false">IFERROR(AVERAGEIFS(記録!$L$6:$L$205,記録!$E$6:$E$205,A10),"")</f>
        <v/>
      </c>
      <c r="H10" s="20" t="str">
        <f aca="false">IFERROR(AVERAGEIFS(記録!$O$6:$O$205,記録!$E$6:$E$205,A10),"")</f>
        <v/>
      </c>
      <c r="I10" s="11" t="str">
        <f aca="false">IF(B10&lt;3,"データ不足（3本以上で判定）",IF(D10&gt;=0.4,"◎ 効いている。来週も使う",IF(D10&gt;=0.2,"○ まずまず","△ 1行目か場面を見直す")))</f>
        <v>データ不足（3本以上で判定）</v>
      </c>
    </row>
    <row r="12" customFormat="false" ht="15" hidden="false" customHeight="false" outlineLevel="0" collapsed="false">
      <c r="A12" s="6" t="s">
        <v>16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77</v>
      </c>
      <c r="G12" s="5" t="s">
        <v>78</v>
      </c>
      <c r="H12" s="5" t="s">
        <v>79</v>
      </c>
      <c r="I12" s="5" t="s">
        <v>80</v>
      </c>
    </row>
    <row r="13" customFormat="false" ht="15" hidden="false" customHeight="false" outlineLevel="0" collapsed="false">
      <c r="A13" s="22" t="s">
        <v>28</v>
      </c>
      <c r="B13" s="22" t="n">
        <f aca="false">COUNTIF(記録!$F$6:$F$205,A13)</f>
        <v>0</v>
      </c>
      <c r="C13" s="22" t="n">
        <f aca="false">COUNTIFS(記録!$F$6:$F$205,A13,記録!$P$6:$P$205,"○")</f>
        <v>0</v>
      </c>
      <c r="D13" s="23" t="str">
        <f aca="false">IF(B13=0,"",C13/B13)</f>
        <v/>
      </c>
      <c r="E13" s="24" t="str">
        <f aca="false">IFERROR(AVERAGEIFS(記録!$I$6:$I$205,記録!$F$6:$F$205,A13),"")</f>
        <v/>
      </c>
      <c r="F13" s="24" t="str">
        <f aca="false">IFERROR(AVERAGEIFS(記録!$K$6:$K$205,記録!$F$6:$F$205,A13),"")</f>
        <v/>
      </c>
      <c r="G13" s="24" t="str">
        <f aca="false">IFERROR(AVERAGEIFS(記録!$L$6:$L$205,記録!$F$6:$F$205,A13),"")</f>
        <v/>
      </c>
      <c r="H13" s="20" t="str">
        <f aca="false">IFERROR(AVERAGEIFS(記録!$O$6:$O$205,記録!$F$6:$F$205,A13),"")</f>
        <v/>
      </c>
      <c r="I13" s="11" t="str">
        <f aca="false">IF(B13&lt;3,"データ不足（3本以上で判定）",IF(D13&gt;=0.4,"◎ 効いている。来週も使う",IF(D13&gt;=0.2,"○ まずまず","△ 1行目か場面を見直す")))</f>
        <v>データ不足（3本以上で判定）</v>
      </c>
    </row>
    <row r="14" customFormat="false" ht="15" hidden="false" customHeight="false" outlineLevel="0" collapsed="false">
      <c r="A14" s="22" t="s">
        <v>86</v>
      </c>
      <c r="B14" s="22" t="n">
        <f aca="false">COUNTIF(記録!$F$6:$F$205,A14)</f>
        <v>0</v>
      </c>
      <c r="C14" s="22" t="n">
        <f aca="false">COUNTIFS(記録!$F$6:$F$205,A14,記録!$P$6:$P$205,"○")</f>
        <v>0</v>
      </c>
      <c r="D14" s="23" t="str">
        <f aca="false">IF(B14=0,"",C14/B14)</f>
        <v/>
      </c>
      <c r="E14" s="24" t="str">
        <f aca="false">IFERROR(AVERAGEIFS(記録!$I$6:$I$205,記録!$F$6:$F$205,A14),"")</f>
        <v/>
      </c>
      <c r="F14" s="24" t="str">
        <f aca="false">IFERROR(AVERAGEIFS(記録!$K$6:$K$205,記録!$F$6:$F$205,A14),"")</f>
        <v/>
      </c>
      <c r="G14" s="24" t="str">
        <f aca="false">IFERROR(AVERAGEIFS(記録!$L$6:$L$205,記録!$F$6:$F$205,A14),"")</f>
        <v/>
      </c>
      <c r="H14" s="20" t="str">
        <f aca="false">IFERROR(AVERAGEIFS(記録!$O$6:$O$205,記録!$F$6:$F$205,A14),"")</f>
        <v/>
      </c>
      <c r="I14" s="11" t="str">
        <f aca="false">IF(B14&lt;3,"データ不足（3本以上で判定）",IF(D14&gt;=0.4,"◎ 効いている。来週も使う",IF(D14&gt;=0.2,"○ まずまず","△ 1行目か場面を見直す")))</f>
        <v>データ不足（3本以上で判定）</v>
      </c>
    </row>
    <row r="15" customFormat="false" ht="15" hidden="false" customHeight="false" outlineLevel="0" collapsed="false">
      <c r="A15" s="22" t="s">
        <v>87</v>
      </c>
      <c r="B15" s="22" t="n">
        <f aca="false">COUNTIF(記録!$F$6:$F$205,A15)</f>
        <v>0</v>
      </c>
      <c r="C15" s="22" t="n">
        <f aca="false">COUNTIFS(記録!$F$6:$F$205,A15,記録!$P$6:$P$205,"○")</f>
        <v>0</v>
      </c>
      <c r="D15" s="23" t="str">
        <f aca="false">IF(B15=0,"",C15/B15)</f>
        <v/>
      </c>
      <c r="E15" s="24" t="str">
        <f aca="false">IFERROR(AVERAGEIFS(記録!$I$6:$I$205,記録!$F$6:$F$205,A15),"")</f>
        <v/>
      </c>
      <c r="F15" s="24" t="str">
        <f aca="false">IFERROR(AVERAGEIFS(記録!$K$6:$K$205,記録!$F$6:$F$205,A15),"")</f>
        <v/>
      </c>
      <c r="G15" s="24" t="str">
        <f aca="false">IFERROR(AVERAGEIFS(記録!$L$6:$L$205,記録!$F$6:$F$205,A15),"")</f>
        <v/>
      </c>
      <c r="H15" s="20" t="str">
        <f aca="false">IFERROR(AVERAGEIFS(記録!$O$6:$O$205,記録!$F$6:$F$205,A15),"")</f>
        <v/>
      </c>
      <c r="I15" s="11" t="str">
        <f aca="false">IF(B15&lt;3,"データ不足（3本以上で判定）",IF(D15&gt;=0.4,"◎ 効いている。来週も使う",IF(D15&gt;=0.2,"○ まずまず","△ 1行目か場面を見直す")))</f>
        <v>データ不足（3本以上で判定）</v>
      </c>
    </row>
    <row r="16" customFormat="false" ht="15" hidden="false" customHeight="false" outlineLevel="0" collapsed="false">
      <c r="A16" s="22" t="s">
        <v>88</v>
      </c>
      <c r="B16" s="22" t="n">
        <f aca="false">COUNTIF(記録!$F$6:$F$205,A16)</f>
        <v>0</v>
      </c>
      <c r="C16" s="22" t="n">
        <f aca="false">COUNTIFS(記録!$F$6:$F$205,A16,記録!$P$6:$P$205,"○")</f>
        <v>0</v>
      </c>
      <c r="D16" s="23" t="str">
        <f aca="false">IF(B16=0,"",C16/B16)</f>
        <v/>
      </c>
      <c r="E16" s="24" t="str">
        <f aca="false">IFERROR(AVERAGEIFS(記録!$I$6:$I$205,記録!$F$6:$F$205,A16),"")</f>
        <v/>
      </c>
      <c r="F16" s="24" t="str">
        <f aca="false">IFERROR(AVERAGEIFS(記録!$K$6:$K$205,記録!$F$6:$F$205,A16),"")</f>
        <v/>
      </c>
      <c r="G16" s="24" t="str">
        <f aca="false">IFERROR(AVERAGEIFS(記録!$L$6:$L$205,記録!$F$6:$F$205,A16),"")</f>
        <v/>
      </c>
      <c r="H16" s="20" t="str">
        <f aca="false">IFERROR(AVERAGEIFS(記録!$O$6:$O$205,記録!$F$6:$F$205,A16),"")</f>
        <v/>
      </c>
      <c r="I16" s="11" t="str">
        <f aca="false">IF(B16&lt;3,"データ不足（3本以上で判定）",IF(D16&gt;=0.4,"◎ 効いている。来週も使う",IF(D16&gt;=0.2,"○ まずまず","△ 1行目か場面を見直す")))</f>
        <v>データ不足（3本以上で判定）</v>
      </c>
    </row>
    <row r="17" customFormat="false" ht="15" hidden="false" customHeight="false" outlineLevel="0" collapsed="false">
      <c r="A17" s="22" t="s">
        <v>89</v>
      </c>
      <c r="B17" s="22" t="n">
        <f aca="false">COUNTIF(記録!$F$6:$F$205,A17)</f>
        <v>0</v>
      </c>
      <c r="C17" s="22" t="n">
        <f aca="false">COUNTIFS(記録!$F$6:$F$205,A17,記録!$P$6:$P$205,"○")</f>
        <v>0</v>
      </c>
      <c r="D17" s="23" t="str">
        <f aca="false">IF(B17=0,"",C17/B17)</f>
        <v/>
      </c>
      <c r="E17" s="24" t="str">
        <f aca="false">IFERROR(AVERAGEIFS(記録!$I$6:$I$205,記録!$F$6:$F$205,A17),"")</f>
        <v/>
      </c>
      <c r="F17" s="24" t="str">
        <f aca="false">IFERROR(AVERAGEIFS(記録!$K$6:$K$205,記録!$F$6:$F$205,A17),"")</f>
        <v/>
      </c>
      <c r="G17" s="24" t="str">
        <f aca="false">IFERROR(AVERAGEIFS(記録!$L$6:$L$205,記録!$F$6:$F$205,A17),"")</f>
        <v/>
      </c>
      <c r="H17" s="20" t="str">
        <f aca="false">IFERROR(AVERAGEIFS(記録!$O$6:$O$205,記録!$F$6:$F$205,A17),"")</f>
        <v/>
      </c>
      <c r="I17" s="11" t="str">
        <f aca="false">IF(B17&lt;3,"データ不足（3本以上で判定）",IF(D17&gt;=0.4,"◎ 効いている。来週も使う",IF(D17&gt;=0.2,"○ まずまず","△ 1行目か場面を見直す")))</f>
        <v>データ不足（3本以上で判定）</v>
      </c>
    </row>
    <row r="19" customFormat="false" ht="26.85" hidden="false" customHeight="false" outlineLevel="0" collapsed="false">
      <c r="A19" s="5" t="s">
        <v>23</v>
      </c>
      <c r="B19" s="5" t="s">
        <v>73</v>
      </c>
      <c r="C19" s="5" t="s">
        <v>90</v>
      </c>
      <c r="D19" s="6" t="s">
        <v>91</v>
      </c>
      <c r="E19" s="5" t="s">
        <v>74</v>
      </c>
      <c r="F19" s="5"/>
      <c r="G19" s="5"/>
      <c r="H19" s="5"/>
      <c r="I19" s="5"/>
    </row>
    <row r="20" customFormat="false" ht="15" hidden="false" customHeight="false" outlineLevel="0" collapsed="false">
      <c r="A20" s="22" t="s">
        <v>92</v>
      </c>
      <c r="B20" s="22" t="n">
        <f aca="false">COUNTIF(記録!$M$6:$M$205,"はい")</f>
        <v>0</v>
      </c>
      <c r="C20" s="22" t="n">
        <f aca="false">SUMIF(記録!$M$6:$M$205,"はい",記録!$N$6:$N$205)</f>
        <v>0</v>
      </c>
      <c r="D20" s="24" t="str">
        <f aca="false">IF(B20=0,"",C20/B20)</f>
        <v/>
      </c>
      <c r="E20" s="22" t="n">
        <f aca="false">COUNTIFS(記録!$M$6:$M$205,"はい",記録!$P$6:$P$205,"○")</f>
        <v>0</v>
      </c>
    </row>
    <row r="21" customFormat="false" ht="15" hidden="false" customHeight="false" outlineLevel="0" collapsed="false">
      <c r="A21" s="22" t="s">
        <v>93</v>
      </c>
      <c r="B21" s="22" t="n">
        <f aca="false">COUNTIF(記録!$M$6:$M$205,"いいえ")</f>
        <v>0</v>
      </c>
      <c r="C21" s="22" t="n">
        <f aca="false">SUMIF(記録!$M$6:$M$205,"いいえ",記録!$N$6:$N$205)</f>
        <v>0</v>
      </c>
      <c r="D21" s="24" t="str">
        <f aca="false">IF(B21=0,"",C21/B21)</f>
        <v/>
      </c>
      <c r="E21" s="22" t="n">
        <f aca="false">COUNTIFS(記録!$M$6:$M$205,"いいえ",記録!$P$6:$P$205,"○")</f>
        <v>0</v>
      </c>
    </row>
    <row r="23" customFormat="false" ht="15" hidden="false" customHeight="false" outlineLevel="0" collapsed="false">
      <c r="A23" s="3" t="s">
        <v>94</v>
      </c>
    </row>
    <row r="24" customFormat="false" ht="15" hidden="false" customHeight="false" outlineLevel="0" collapsed="false">
      <c r="A24" s="4" t="s">
        <v>95</v>
      </c>
    </row>
    <row r="25" customFormat="false" ht="15" hidden="false" customHeight="false" outlineLevel="0" collapsed="false">
      <c r="A25" s="4" t="s">
        <v>96</v>
      </c>
    </row>
  </sheetData>
  <conditionalFormatting sqref="D5:D10">
    <cfRule type="dataBar" priority="2">
      <dataBar showValue="1" minLength="10" maxLength="90">
        <cfvo type="num" val="0"/>
        <cfvo type="num" val="1"/>
        <color rgb="FFF4A261"/>
      </dataBar>
      <extLst>
        <ext xmlns:x14="http://schemas.microsoft.com/office/spreadsheetml/2009/9/main" uri="{B025F937-C7B1-47D3-B67F-A62EFF666E3E}">
          <x14:id>{1A7D3563-8E8C-4740-B2A0-80A849578790}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7D3563-8E8C-4740-B2A0-80A84957879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4A261"/>
              <x14:axisColor rgb="FF000000"/>
            </x14:dataBar>
          </x14:cfRule>
          <xm:sqref>D5:D10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40"/>
    <col collapsed="false" customWidth="true" hidden="false" outlineLevel="0" max="12" min="10" style="0" width="26"/>
  </cols>
  <sheetData>
    <row r="1" customFormat="false" ht="20.8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30" hidden="false" customHeight="true" outlineLevel="0" collapsed="false">
      <c r="A4" s="5" t="s">
        <v>65</v>
      </c>
      <c r="B4" s="5" t="s">
        <v>99</v>
      </c>
      <c r="C4" s="5" t="s">
        <v>100</v>
      </c>
      <c r="D4" s="5" t="s">
        <v>73</v>
      </c>
      <c r="E4" s="5" t="s">
        <v>74</v>
      </c>
      <c r="F4" s="5" t="s">
        <v>101</v>
      </c>
      <c r="G4" s="5" t="s">
        <v>102</v>
      </c>
      <c r="H4" s="5" t="s">
        <v>90</v>
      </c>
      <c r="I4" s="5" t="s">
        <v>103</v>
      </c>
      <c r="J4" s="5" t="s">
        <v>104</v>
      </c>
      <c r="K4" s="5" t="s">
        <v>105</v>
      </c>
      <c r="L4" s="5" t="s">
        <v>106</v>
      </c>
    </row>
    <row r="5" customFormat="false" ht="15" hidden="false" customHeight="false" outlineLevel="0" collapsed="false">
      <c r="A5" s="22" t="n">
        <v>1</v>
      </c>
      <c r="B5" s="25" t="n">
        <f aca="false">設定!$B$6+(A5-1)*7</f>
        <v>46300</v>
      </c>
      <c r="C5" s="25" t="n">
        <f aca="false">B5+6</f>
        <v>46306</v>
      </c>
      <c r="D5" s="22" t="n">
        <f aca="false">COUNTIF(記録!$D$6:$D$205,A5)</f>
        <v>0</v>
      </c>
      <c r="E5" s="26" t="n">
        <f aca="false">COUNTIFS(記録!$D$6:$D$205,A5,記録!$P$6:$P$205,"○")</f>
        <v>0</v>
      </c>
      <c r="F5" s="22" t="n">
        <f aca="false">SUMIF(記録!$D$6:$D$205,A5,記録!$K$6:$K$205)</f>
        <v>0</v>
      </c>
      <c r="G5" s="22" t="n">
        <f aca="false">SUMIF(記録!$D$6:$D$205,A5,記録!$L$6:$L$205)</f>
        <v>0</v>
      </c>
      <c r="H5" s="22" t="n">
        <f aca="false">SUMIF(記録!$D$6:$D$205,A5,記録!$N$6:$N$205)</f>
        <v>0</v>
      </c>
      <c r="I5" s="11" t="str">
        <f aca="false">IF(D5=0,"",IFERROR(INDEX(記録!$H$6:$H$205,MATCH(A5&amp;"-"&amp;_xlfn.MAXIFS(記録!$K$6:$K$205,記録!$D$6:$D$205,A5),記録!$R$6:$R$205,0)),""))</f>
        <v/>
      </c>
      <c r="J5" s="12"/>
      <c r="K5" s="12"/>
      <c r="L5" s="12"/>
    </row>
    <row r="6" customFormat="false" ht="15" hidden="false" customHeight="false" outlineLevel="0" collapsed="false">
      <c r="A6" s="22" t="n">
        <v>2</v>
      </c>
      <c r="B6" s="25" t="n">
        <f aca="false">設定!$B$6+(A6-1)*7</f>
        <v>46307</v>
      </c>
      <c r="C6" s="25" t="n">
        <f aca="false">B6+6</f>
        <v>46313</v>
      </c>
      <c r="D6" s="22" t="n">
        <f aca="false">COUNTIF(記録!$D$6:$D$205,A6)</f>
        <v>0</v>
      </c>
      <c r="E6" s="26" t="n">
        <f aca="false">COUNTIFS(記録!$D$6:$D$205,A6,記録!$P$6:$P$205,"○")</f>
        <v>0</v>
      </c>
      <c r="F6" s="22" t="n">
        <f aca="false">SUMIF(記録!$D$6:$D$205,A6,記録!$K$6:$K$205)</f>
        <v>0</v>
      </c>
      <c r="G6" s="22" t="n">
        <f aca="false">SUMIF(記録!$D$6:$D$205,A6,記録!$L$6:$L$205)</f>
        <v>0</v>
      </c>
      <c r="H6" s="22" t="n">
        <f aca="false">SUMIF(記録!$D$6:$D$205,A6,記録!$N$6:$N$205)</f>
        <v>0</v>
      </c>
      <c r="I6" s="11" t="str">
        <f aca="false">IF(D6=0,"",IFERROR(INDEX(記録!$H$6:$H$205,MATCH(A6&amp;"-"&amp;_xlfn.MAXIFS(記録!$K$6:$K$205,記録!$D$6:$D$205,A6),記録!$R$6:$R$205,0)),""))</f>
        <v/>
      </c>
      <c r="J6" s="12"/>
      <c r="K6" s="12"/>
      <c r="L6" s="12"/>
    </row>
    <row r="7" customFormat="false" ht="15" hidden="false" customHeight="false" outlineLevel="0" collapsed="false">
      <c r="A7" s="22" t="n">
        <v>3</v>
      </c>
      <c r="B7" s="25" t="n">
        <f aca="false">設定!$B$6+(A7-1)*7</f>
        <v>46314</v>
      </c>
      <c r="C7" s="25" t="n">
        <f aca="false">B7+6</f>
        <v>46320</v>
      </c>
      <c r="D7" s="22" t="n">
        <f aca="false">COUNTIF(記録!$D$6:$D$205,A7)</f>
        <v>0</v>
      </c>
      <c r="E7" s="26" t="n">
        <f aca="false">COUNTIFS(記録!$D$6:$D$205,A7,記録!$P$6:$P$205,"○")</f>
        <v>0</v>
      </c>
      <c r="F7" s="22" t="n">
        <f aca="false">SUMIF(記録!$D$6:$D$205,A7,記録!$K$6:$K$205)</f>
        <v>0</v>
      </c>
      <c r="G7" s="22" t="n">
        <f aca="false">SUMIF(記録!$D$6:$D$205,A7,記録!$L$6:$L$205)</f>
        <v>0</v>
      </c>
      <c r="H7" s="22" t="n">
        <f aca="false">SUMIF(記録!$D$6:$D$205,A7,記録!$N$6:$N$205)</f>
        <v>0</v>
      </c>
      <c r="I7" s="11" t="str">
        <f aca="false">IF(D7=0,"",IFERROR(INDEX(記録!$H$6:$H$205,MATCH(A7&amp;"-"&amp;_xlfn.MAXIFS(記録!$K$6:$K$205,記録!$D$6:$D$205,A7),記録!$R$6:$R$205,0)),""))</f>
        <v/>
      </c>
      <c r="J7" s="12"/>
      <c r="K7" s="12"/>
      <c r="L7" s="12"/>
    </row>
    <row r="8" customFormat="false" ht="15" hidden="false" customHeight="false" outlineLevel="0" collapsed="false">
      <c r="A8" s="22" t="n">
        <v>4</v>
      </c>
      <c r="B8" s="25" t="n">
        <f aca="false">設定!$B$6+(A8-1)*7</f>
        <v>46321</v>
      </c>
      <c r="C8" s="25" t="n">
        <f aca="false">B8+6</f>
        <v>46327</v>
      </c>
      <c r="D8" s="22" t="n">
        <f aca="false">COUNTIF(記録!$D$6:$D$205,A8)</f>
        <v>0</v>
      </c>
      <c r="E8" s="26" t="n">
        <f aca="false">COUNTIFS(記録!$D$6:$D$205,A8,記録!$P$6:$P$205,"○")</f>
        <v>0</v>
      </c>
      <c r="F8" s="22" t="n">
        <f aca="false">SUMIF(記録!$D$6:$D$205,A8,記録!$K$6:$K$205)</f>
        <v>0</v>
      </c>
      <c r="G8" s="22" t="n">
        <f aca="false">SUMIF(記録!$D$6:$D$205,A8,記録!$L$6:$L$205)</f>
        <v>0</v>
      </c>
      <c r="H8" s="22" t="n">
        <f aca="false">SUMIF(記録!$D$6:$D$205,A8,記録!$N$6:$N$205)</f>
        <v>0</v>
      </c>
      <c r="I8" s="11" t="str">
        <f aca="false">IF(D8=0,"",IFERROR(INDEX(記録!$H$6:$H$205,MATCH(A8&amp;"-"&amp;_xlfn.MAXIFS(記録!$K$6:$K$205,記録!$D$6:$D$205,A8),記録!$R$6:$R$205,0)),""))</f>
        <v/>
      </c>
      <c r="J8" s="12"/>
      <c r="K8" s="12"/>
      <c r="L8" s="12"/>
    </row>
    <row r="9" customFormat="false" ht="15" hidden="false" customHeight="false" outlineLevel="0" collapsed="false">
      <c r="A9" s="22" t="n">
        <v>5</v>
      </c>
      <c r="B9" s="25" t="n">
        <f aca="false">設定!$B$6+(A9-1)*7</f>
        <v>46328</v>
      </c>
      <c r="C9" s="25" t="n">
        <f aca="false">B9+6</f>
        <v>46334</v>
      </c>
      <c r="D9" s="22" t="n">
        <f aca="false">COUNTIF(記録!$D$6:$D$205,A9)</f>
        <v>0</v>
      </c>
      <c r="E9" s="26" t="n">
        <f aca="false">COUNTIFS(記録!$D$6:$D$205,A9,記録!$P$6:$P$205,"○")</f>
        <v>0</v>
      </c>
      <c r="F9" s="22" t="n">
        <f aca="false">SUMIF(記録!$D$6:$D$205,A9,記録!$K$6:$K$205)</f>
        <v>0</v>
      </c>
      <c r="G9" s="22" t="n">
        <f aca="false">SUMIF(記録!$D$6:$D$205,A9,記録!$L$6:$L$205)</f>
        <v>0</v>
      </c>
      <c r="H9" s="22" t="n">
        <f aca="false">SUMIF(記録!$D$6:$D$205,A9,記録!$N$6:$N$205)</f>
        <v>0</v>
      </c>
      <c r="I9" s="11" t="str">
        <f aca="false">IF(D9=0,"",IFERROR(INDEX(記録!$H$6:$H$205,MATCH(A9&amp;"-"&amp;_xlfn.MAXIFS(記録!$K$6:$K$205,記録!$D$6:$D$205,A9),記録!$R$6:$R$205,0)),""))</f>
        <v/>
      </c>
      <c r="J9" s="12"/>
      <c r="K9" s="12"/>
      <c r="L9" s="12"/>
    </row>
    <row r="10" customFormat="false" ht="15" hidden="false" customHeight="false" outlineLevel="0" collapsed="false">
      <c r="A10" s="22" t="n">
        <v>6</v>
      </c>
      <c r="B10" s="25" t="n">
        <f aca="false">設定!$B$6+(A10-1)*7</f>
        <v>46335</v>
      </c>
      <c r="C10" s="25" t="n">
        <f aca="false">B10+6</f>
        <v>46341</v>
      </c>
      <c r="D10" s="22" t="n">
        <f aca="false">COUNTIF(記録!$D$6:$D$205,A10)</f>
        <v>0</v>
      </c>
      <c r="E10" s="26" t="n">
        <f aca="false">COUNTIFS(記録!$D$6:$D$205,A10,記録!$P$6:$P$205,"○")</f>
        <v>0</v>
      </c>
      <c r="F10" s="22" t="n">
        <f aca="false">SUMIF(記録!$D$6:$D$205,A10,記録!$K$6:$K$205)</f>
        <v>0</v>
      </c>
      <c r="G10" s="22" t="n">
        <f aca="false">SUMIF(記録!$D$6:$D$205,A10,記録!$L$6:$L$205)</f>
        <v>0</v>
      </c>
      <c r="H10" s="22" t="n">
        <f aca="false">SUMIF(記録!$D$6:$D$205,A10,記録!$N$6:$N$205)</f>
        <v>0</v>
      </c>
      <c r="I10" s="11" t="str">
        <f aca="false">IF(D10=0,"",IFERROR(INDEX(記録!$H$6:$H$205,MATCH(A10&amp;"-"&amp;_xlfn.MAXIFS(記録!$K$6:$K$205,記録!$D$6:$D$205,A10),記録!$R$6:$R$205,0)),""))</f>
        <v/>
      </c>
      <c r="J10" s="12"/>
      <c r="K10" s="12"/>
      <c r="L10" s="12"/>
    </row>
    <row r="11" customFormat="false" ht="15" hidden="false" customHeight="false" outlineLevel="0" collapsed="false">
      <c r="A11" s="22" t="n">
        <v>7</v>
      </c>
      <c r="B11" s="25" t="n">
        <f aca="false">設定!$B$6+(A11-1)*7</f>
        <v>46342</v>
      </c>
      <c r="C11" s="25" t="n">
        <f aca="false">B11+6</f>
        <v>46348</v>
      </c>
      <c r="D11" s="22" t="n">
        <f aca="false">COUNTIF(記録!$D$6:$D$205,A11)</f>
        <v>0</v>
      </c>
      <c r="E11" s="26" t="n">
        <f aca="false">COUNTIFS(記録!$D$6:$D$205,A11,記録!$P$6:$P$205,"○")</f>
        <v>0</v>
      </c>
      <c r="F11" s="22" t="n">
        <f aca="false">SUMIF(記録!$D$6:$D$205,A11,記録!$K$6:$K$205)</f>
        <v>0</v>
      </c>
      <c r="G11" s="22" t="n">
        <f aca="false">SUMIF(記録!$D$6:$D$205,A11,記録!$L$6:$L$205)</f>
        <v>0</v>
      </c>
      <c r="H11" s="22" t="n">
        <f aca="false">SUMIF(記録!$D$6:$D$205,A11,記録!$N$6:$N$205)</f>
        <v>0</v>
      </c>
      <c r="I11" s="11" t="str">
        <f aca="false">IF(D11=0,"",IFERROR(INDEX(記録!$H$6:$H$205,MATCH(A11&amp;"-"&amp;_xlfn.MAXIFS(記録!$K$6:$K$205,記録!$D$6:$D$205,A11),記録!$R$6:$R$205,0)),""))</f>
        <v/>
      </c>
      <c r="J11" s="12"/>
      <c r="K11" s="12"/>
      <c r="L11" s="12"/>
    </row>
    <row r="12" customFormat="false" ht="15" hidden="false" customHeight="false" outlineLevel="0" collapsed="false">
      <c r="A12" s="22" t="n">
        <v>8</v>
      </c>
      <c r="B12" s="25" t="n">
        <f aca="false">設定!$B$6+(A12-1)*7</f>
        <v>46349</v>
      </c>
      <c r="C12" s="25" t="n">
        <f aca="false">B12+6</f>
        <v>46355</v>
      </c>
      <c r="D12" s="22" t="n">
        <f aca="false">COUNTIF(記録!$D$6:$D$205,A12)</f>
        <v>0</v>
      </c>
      <c r="E12" s="26" t="n">
        <f aca="false">COUNTIFS(記録!$D$6:$D$205,A12,記録!$P$6:$P$205,"○")</f>
        <v>0</v>
      </c>
      <c r="F12" s="22" t="n">
        <f aca="false">SUMIF(記録!$D$6:$D$205,A12,記録!$K$6:$K$205)</f>
        <v>0</v>
      </c>
      <c r="G12" s="22" t="n">
        <f aca="false">SUMIF(記録!$D$6:$D$205,A12,記録!$L$6:$L$205)</f>
        <v>0</v>
      </c>
      <c r="H12" s="22" t="n">
        <f aca="false">SUMIF(記録!$D$6:$D$205,A12,記録!$N$6:$N$205)</f>
        <v>0</v>
      </c>
      <c r="I12" s="11" t="str">
        <f aca="false">IF(D12=0,"",IFERROR(INDEX(記録!$H$6:$H$205,MATCH(A12&amp;"-"&amp;_xlfn.MAXIFS(記録!$K$6:$K$205,記録!$D$6:$D$205,A12),記録!$R$6:$R$205,0)),""))</f>
        <v/>
      </c>
      <c r="J12" s="12"/>
      <c r="K12" s="12"/>
      <c r="L12" s="12"/>
    </row>
    <row r="13" customFormat="false" ht="15" hidden="false" customHeight="false" outlineLevel="0" collapsed="false">
      <c r="A13" s="22" t="n">
        <v>9</v>
      </c>
      <c r="B13" s="25" t="n">
        <f aca="false">設定!$B$6+(A13-1)*7</f>
        <v>46356</v>
      </c>
      <c r="C13" s="25" t="n">
        <f aca="false">B13+6</f>
        <v>46362</v>
      </c>
      <c r="D13" s="22" t="n">
        <f aca="false">COUNTIF(記録!$D$6:$D$205,A13)</f>
        <v>0</v>
      </c>
      <c r="E13" s="26" t="n">
        <f aca="false">COUNTIFS(記録!$D$6:$D$205,A13,記録!$P$6:$P$205,"○")</f>
        <v>0</v>
      </c>
      <c r="F13" s="22" t="n">
        <f aca="false">SUMIF(記録!$D$6:$D$205,A13,記録!$K$6:$K$205)</f>
        <v>0</v>
      </c>
      <c r="G13" s="22" t="n">
        <f aca="false">SUMIF(記録!$D$6:$D$205,A13,記録!$L$6:$L$205)</f>
        <v>0</v>
      </c>
      <c r="H13" s="22" t="n">
        <f aca="false">SUMIF(記録!$D$6:$D$205,A13,記録!$N$6:$N$205)</f>
        <v>0</v>
      </c>
      <c r="I13" s="11" t="str">
        <f aca="false">IF(D13=0,"",IFERROR(INDEX(記録!$H$6:$H$205,MATCH(A13&amp;"-"&amp;_xlfn.MAXIFS(記録!$K$6:$K$205,記録!$D$6:$D$205,A13),記録!$R$6:$R$205,0)),""))</f>
        <v/>
      </c>
      <c r="J13" s="12"/>
      <c r="K13" s="12"/>
      <c r="L13" s="12"/>
    </row>
    <row r="14" customFormat="false" ht="15" hidden="false" customHeight="false" outlineLevel="0" collapsed="false">
      <c r="A14" s="22" t="n">
        <v>10</v>
      </c>
      <c r="B14" s="25" t="n">
        <f aca="false">設定!$B$6+(A14-1)*7</f>
        <v>46363</v>
      </c>
      <c r="C14" s="25" t="n">
        <f aca="false">B14+6</f>
        <v>46369</v>
      </c>
      <c r="D14" s="22" t="n">
        <f aca="false">COUNTIF(記録!$D$6:$D$205,A14)</f>
        <v>0</v>
      </c>
      <c r="E14" s="26" t="n">
        <f aca="false">COUNTIFS(記録!$D$6:$D$205,A14,記録!$P$6:$P$205,"○")</f>
        <v>0</v>
      </c>
      <c r="F14" s="22" t="n">
        <f aca="false">SUMIF(記録!$D$6:$D$205,A14,記録!$K$6:$K$205)</f>
        <v>0</v>
      </c>
      <c r="G14" s="22" t="n">
        <f aca="false">SUMIF(記録!$D$6:$D$205,A14,記録!$L$6:$L$205)</f>
        <v>0</v>
      </c>
      <c r="H14" s="22" t="n">
        <f aca="false">SUMIF(記録!$D$6:$D$205,A14,記録!$N$6:$N$205)</f>
        <v>0</v>
      </c>
      <c r="I14" s="11" t="str">
        <f aca="false">IF(D14=0,"",IFERROR(INDEX(記録!$H$6:$H$205,MATCH(A14&amp;"-"&amp;_xlfn.MAXIFS(記録!$K$6:$K$205,記録!$D$6:$D$205,A14),記録!$R$6:$R$205,0)),""))</f>
        <v/>
      </c>
      <c r="J14" s="12"/>
      <c r="K14" s="12"/>
      <c r="L14" s="12"/>
    </row>
    <row r="15" customFormat="false" ht="15" hidden="false" customHeight="false" outlineLevel="0" collapsed="false">
      <c r="A15" s="22" t="n">
        <v>11</v>
      </c>
      <c r="B15" s="25" t="n">
        <f aca="false">設定!$B$6+(A15-1)*7</f>
        <v>46370</v>
      </c>
      <c r="C15" s="25" t="n">
        <f aca="false">B15+6</f>
        <v>46376</v>
      </c>
      <c r="D15" s="22" t="n">
        <f aca="false">COUNTIF(記録!$D$6:$D$205,A15)</f>
        <v>0</v>
      </c>
      <c r="E15" s="26" t="n">
        <f aca="false">COUNTIFS(記録!$D$6:$D$205,A15,記録!$P$6:$P$205,"○")</f>
        <v>0</v>
      </c>
      <c r="F15" s="22" t="n">
        <f aca="false">SUMIF(記録!$D$6:$D$205,A15,記録!$K$6:$K$205)</f>
        <v>0</v>
      </c>
      <c r="G15" s="22" t="n">
        <f aca="false">SUMIF(記録!$D$6:$D$205,A15,記録!$L$6:$L$205)</f>
        <v>0</v>
      </c>
      <c r="H15" s="22" t="n">
        <f aca="false">SUMIF(記録!$D$6:$D$205,A15,記録!$N$6:$N$205)</f>
        <v>0</v>
      </c>
      <c r="I15" s="11" t="str">
        <f aca="false">IF(D15=0,"",IFERROR(INDEX(記録!$H$6:$H$205,MATCH(A15&amp;"-"&amp;_xlfn.MAXIFS(記録!$K$6:$K$205,記録!$D$6:$D$205,A15),記録!$R$6:$R$205,0)),""))</f>
        <v/>
      </c>
      <c r="J15" s="12"/>
      <c r="K15" s="12"/>
      <c r="L15" s="12"/>
    </row>
    <row r="16" customFormat="false" ht="15" hidden="false" customHeight="false" outlineLevel="0" collapsed="false">
      <c r="A16" s="22" t="n">
        <v>12</v>
      </c>
      <c r="B16" s="25" t="n">
        <f aca="false">設定!$B$6+(A16-1)*7</f>
        <v>46377</v>
      </c>
      <c r="C16" s="25" t="n">
        <f aca="false">B16+6</f>
        <v>46383</v>
      </c>
      <c r="D16" s="22" t="n">
        <f aca="false">COUNTIF(記録!$D$6:$D$205,A16)</f>
        <v>0</v>
      </c>
      <c r="E16" s="26" t="n">
        <f aca="false">COUNTIFS(記録!$D$6:$D$205,A16,記録!$P$6:$P$205,"○")</f>
        <v>0</v>
      </c>
      <c r="F16" s="22" t="n">
        <f aca="false">SUMIF(記録!$D$6:$D$205,A16,記録!$K$6:$K$205)</f>
        <v>0</v>
      </c>
      <c r="G16" s="22" t="n">
        <f aca="false">SUMIF(記録!$D$6:$D$205,A16,記録!$L$6:$L$205)</f>
        <v>0</v>
      </c>
      <c r="H16" s="22" t="n">
        <f aca="false">SUMIF(記録!$D$6:$D$205,A16,記録!$N$6:$N$205)</f>
        <v>0</v>
      </c>
      <c r="I16" s="11" t="str">
        <f aca="false">IF(D16=0,"",IFERROR(INDEX(記録!$H$6:$H$205,MATCH(A16&amp;"-"&amp;_xlfn.MAXIFS(記録!$K$6:$K$205,記録!$D$6:$D$205,A16),記録!$R$6:$R$205,0)),""))</f>
        <v/>
      </c>
      <c r="J16" s="12"/>
      <c r="K16" s="12"/>
      <c r="L16" s="12"/>
    </row>
    <row r="17" customFormat="false" ht="15" hidden="false" customHeight="false" outlineLevel="0" collapsed="false">
      <c r="A17" s="22" t="n">
        <v>13</v>
      </c>
      <c r="B17" s="25" t="n">
        <f aca="false">設定!$B$6+(A17-1)*7</f>
        <v>46384</v>
      </c>
      <c r="C17" s="25" t="n">
        <f aca="false">B17+6</f>
        <v>46390</v>
      </c>
      <c r="D17" s="22" t="n">
        <f aca="false">COUNTIF(記録!$D$6:$D$205,A17)</f>
        <v>0</v>
      </c>
      <c r="E17" s="26" t="n">
        <f aca="false">COUNTIFS(記録!$D$6:$D$205,A17,記録!$P$6:$P$205,"○")</f>
        <v>0</v>
      </c>
      <c r="F17" s="22" t="n">
        <f aca="false">SUMIF(記録!$D$6:$D$205,A17,記録!$K$6:$K$205)</f>
        <v>0</v>
      </c>
      <c r="G17" s="22" t="n">
        <f aca="false">SUMIF(記録!$D$6:$D$205,A17,記録!$L$6:$L$205)</f>
        <v>0</v>
      </c>
      <c r="H17" s="22" t="n">
        <f aca="false">SUMIF(記録!$D$6:$D$205,A17,記録!$N$6:$N$205)</f>
        <v>0</v>
      </c>
      <c r="I17" s="11" t="str">
        <f aca="false">IF(D17=0,"",IFERROR(INDEX(記録!$H$6:$H$205,MATCH(A17&amp;"-"&amp;_xlfn.MAXIFS(記録!$K$6:$K$205,記録!$D$6:$D$205,A17),記録!$R$6:$R$205,0)),""))</f>
        <v/>
      </c>
      <c r="J17" s="12"/>
      <c r="K17" s="12"/>
      <c r="L17" s="12"/>
    </row>
    <row r="19" customFormat="false" ht="15" hidden="false" customHeight="false" outlineLevel="0" collapsed="false">
      <c r="A19" s="27" t="s">
        <v>107</v>
      </c>
      <c r="B19" s="27"/>
      <c r="C19" s="27"/>
      <c r="D19" s="27" t="n">
        <f aca="false">SUM(D5:D17)</f>
        <v>0</v>
      </c>
      <c r="E19" s="27" t="n">
        <f aca="false">SUM(E5:E17)</f>
        <v>0</v>
      </c>
      <c r="F19" s="27" t="n">
        <f aca="false">SUM(F5:F17)</f>
        <v>0</v>
      </c>
      <c r="G19" s="27" t="n">
        <f aca="false">SUM(G5:G17)</f>
        <v>0</v>
      </c>
      <c r="H19" s="27" t="n">
        <f aca="false">SUM(H5:H17)</f>
        <v>0</v>
      </c>
    </row>
  </sheetData>
  <conditionalFormatting sqref="E5:E17">
    <cfRule type="dataBar" priority="2">
      <dataBar showValue="1" minLength="10" maxLength="90">
        <cfvo type="num" val="0"/>
        <cfvo type="num" val="7"/>
        <color rgb="FFF4A261"/>
      </dataBar>
      <extLst>
        <ext xmlns:x14="http://schemas.microsoft.com/office/spreadsheetml/2009/9/main" uri="{B025F937-C7B1-47D3-B67F-A62EFF666E3E}">
          <x14:id>{AEBA8FAD-7946-43B7-8283-88A8EA409259}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BA8FAD-7946-43B7-8283-88A8EA409259}">
            <x14:dataBar minLength="10" maxLength="90" axisPosition="none" gradient="true">
              <x14:cfvo type="num">
                <xm:f>0</xm:f>
              </x14:cfvo>
              <x14:cfvo type="num">
                <xm:f>7</xm:f>
              </x14:cfvo>
              <x14:negativeFillColor rgb="FFF4A261"/>
              <x14:axisColor rgb="FF000000"/>
            </x14:dataBar>
          </x14:cfRule>
          <xm:sqref>E5:E17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44"/>
  </cols>
  <sheetData>
    <row r="1" customFormat="false" ht="20.8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31.5" hidden="false" customHeight="true" outlineLevel="0" collapsed="false">
      <c r="A4" s="5" t="s">
        <v>110</v>
      </c>
      <c r="B4" s="5" t="s">
        <v>73</v>
      </c>
      <c r="C4" s="5" t="s">
        <v>111</v>
      </c>
      <c r="D4" s="5" t="s">
        <v>112</v>
      </c>
      <c r="E4" s="5" t="s">
        <v>113</v>
      </c>
      <c r="F4" s="5" t="s">
        <v>114</v>
      </c>
      <c r="G4" s="5" t="s">
        <v>115</v>
      </c>
      <c r="H4" s="5" t="s">
        <v>116</v>
      </c>
    </row>
    <row r="5" customFormat="false" ht="15" hidden="false" customHeight="false" outlineLevel="0" collapsed="false">
      <c r="A5" s="12" t="s">
        <v>29</v>
      </c>
      <c r="B5" s="22" t="n">
        <f aca="false">IF(A5="","",COUNTIF(記録!$G$6:$G$205,A5))</f>
        <v>0</v>
      </c>
      <c r="C5" s="16" t="n">
        <f aca="false">IF(A5="","",COUNTIFS(記録!$G$6:$G$205,A5,記録!$P$6:$P$205,"○"))</f>
        <v>0</v>
      </c>
      <c r="D5" s="22" t="n">
        <f aca="false">IF(A5="","",MAX(0,設定!$B$10-C5))</f>
        <v>5</v>
      </c>
      <c r="E5" s="18"/>
      <c r="F5" s="18"/>
      <c r="G5" s="22" t="n">
        <f aca="false">IF(A5="","",(C5&gt;=設定!$B$10)+(E5="はい")+(F5="はい"))</f>
        <v>0</v>
      </c>
      <c r="H5" s="11" t="str">
        <f aca="false">IF(A5="","",IF(G5&gt;=2,"note化のサイン！構成づくりへ（特典① 応用H）",IF(C5&gt;=3,"ミニnote（数百円）も検討できる","アタリを育てて魚拓を増やす")))</f>
        <v>アタリを育てて魚拓を増やす</v>
      </c>
    </row>
    <row r="6" customFormat="false" ht="15" hidden="false" customHeight="false" outlineLevel="0" collapsed="false">
      <c r="A6" s="12"/>
      <c r="B6" s="22" t="str">
        <f aca="false">IF(A6="","",COUNTIF(記録!$G$6:$G$205,A6))</f>
        <v/>
      </c>
      <c r="C6" s="16" t="str">
        <f aca="false">IF(A6="","",COUNTIFS(記録!$G$6:$G$205,A6,記録!$P$6:$P$205,"○"))</f>
        <v/>
      </c>
      <c r="D6" s="22" t="str">
        <f aca="false">IF(A6="","",MAX(0,設定!$B$10-C6))</f>
        <v/>
      </c>
      <c r="E6" s="18"/>
      <c r="F6" s="18"/>
      <c r="G6" s="22" t="str">
        <f aca="false">IF(A6="","",(C6&gt;=設定!$B$10)+(E6="はい")+(F6="はい"))</f>
        <v/>
      </c>
      <c r="H6" s="11" t="str">
        <f aca="false">IF(A6="","",IF(G6&gt;=2,"note化のサイン！構成づくりへ（特典① 応用H）",IF(C6&gt;=3,"ミニnote（数百円）も検討できる","アタリを育てて魚拓を増やす")))</f>
        <v/>
      </c>
    </row>
    <row r="7" customFormat="false" ht="15" hidden="false" customHeight="false" outlineLevel="0" collapsed="false">
      <c r="A7" s="12"/>
      <c r="B7" s="22" t="str">
        <f aca="false">IF(A7="","",COUNTIF(記録!$G$6:$G$205,A7))</f>
        <v/>
      </c>
      <c r="C7" s="16" t="str">
        <f aca="false">IF(A7="","",COUNTIFS(記録!$G$6:$G$205,A7,記録!$P$6:$P$205,"○"))</f>
        <v/>
      </c>
      <c r="D7" s="22" t="str">
        <f aca="false">IF(A7="","",MAX(0,設定!$B$10-C7))</f>
        <v/>
      </c>
      <c r="E7" s="18"/>
      <c r="F7" s="18"/>
      <c r="G7" s="22" t="str">
        <f aca="false">IF(A7="","",(C7&gt;=設定!$B$10)+(E7="はい")+(F7="はい"))</f>
        <v/>
      </c>
      <c r="H7" s="11" t="str">
        <f aca="false">IF(A7="","",IF(G7&gt;=2,"note化のサイン！構成づくりへ（特典① 応用H）",IF(C7&gt;=3,"ミニnote（数百円）も検討できる","アタリを育てて魚拓を増やす")))</f>
        <v/>
      </c>
    </row>
    <row r="8" customFormat="false" ht="15" hidden="false" customHeight="false" outlineLevel="0" collapsed="false">
      <c r="A8" s="12"/>
      <c r="B8" s="22" t="str">
        <f aca="false">IF(A8="","",COUNTIF(記録!$G$6:$G$205,A8))</f>
        <v/>
      </c>
      <c r="C8" s="16" t="str">
        <f aca="false">IF(A8="","",COUNTIFS(記録!$G$6:$G$205,A8,記録!$P$6:$P$205,"○"))</f>
        <v/>
      </c>
      <c r="D8" s="22" t="str">
        <f aca="false">IF(A8="","",MAX(0,設定!$B$10-C8))</f>
        <v/>
      </c>
      <c r="E8" s="18"/>
      <c r="F8" s="18"/>
      <c r="G8" s="22" t="str">
        <f aca="false">IF(A8="","",(C8&gt;=設定!$B$10)+(E8="はい")+(F8="はい"))</f>
        <v/>
      </c>
      <c r="H8" s="11" t="str">
        <f aca="false">IF(A8="","",IF(G8&gt;=2,"note化のサイン！構成づくりへ（特典① 応用H）",IF(C8&gt;=3,"ミニnote（数百円）も検討できる","アタリを育てて魚拓を増やす")))</f>
        <v/>
      </c>
    </row>
    <row r="9" customFormat="false" ht="15" hidden="false" customHeight="false" outlineLevel="0" collapsed="false">
      <c r="A9" s="12"/>
      <c r="B9" s="22" t="str">
        <f aca="false">IF(A9="","",COUNTIF(記録!$G$6:$G$205,A9))</f>
        <v/>
      </c>
      <c r="C9" s="16" t="str">
        <f aca="false">IF(A9="","",COUNTIFS(記録!$G$6:$G$205,A9,記録!$P$6:$P$205,"○"))</f>
        <v/>
      </c>
      <c r="D9" s="22" t="str">
        <f aca="false">IF(A9="","",MAX(0,設定!$B$10-C9))</f>
        <v/>
      </c>
      <c r="E9" s="18"/>
      <c r="F9" s="18"/>
      <c r="G9" s="22" t="str">
        <f aca="false">IF(A9="","",(C9&gt;=設定!$B$10)+(E9="はい")+(F9="はい"))</f>
        <v/>
      </c>
      <c r="H9" s="11" t="str">
        <f aca="false">IF(A9="","",IF(G9&gt;=2,"note化のサイン！構成づくりへ（特典① 応用H）",IF(C9&gt;=3,"ミニnote（数百円）も検討できる","アタリを育てて魚拓を増やす")))</f>
        <v/>
      </c>
    </row>
    <row r="10" customFormat="false" ht="15" hidden="false" customHeight="false" outlineLevel="0" collapsed="false">
      <c r="A10" s="12"/>
      <c r="B10" s="22" t="str">
        <f aca="false">IF(A10="","",COUNTIF(記録!$G$6:$G$205,A10))</f>
        <v/>
      </c>
      <c r="C10" s="16" t="str">
        <f aca="false">IF(A10="","",COUNTIFS(記録!$G$6:$G$205,A10,記録!$P$6:$P$205,"○"))</f>
        <v/>
      </c>
      <c r="D10" s="22" t="str">
        <f aca="false">IF(A10="","",MAX(0,設定!$B$10-C10))</f>
        <v/>
      </c>
      <c r="E10" s="18"/>
      <c r="F10" s="18"/>
      <c r="G10" s="22" t="str">
        <f aca="false">IF(A10="","",(C10&gt;=設定!$B$10)+(E10="はい")+(F10="はい"))</f>
        <v/>
      </c>
      <c r="H10" s="11" t="str">
        <f aca="false">IF(A10="","",IF(G10&gt;=2,"note化のサイン！構成づくりへ（特典① 応用H）",IF(C10&gt;=3,"ミニnote（数百円）も検討できる","アタリを育てて魚拓を増やす")))</f>
        <v/>
      </c>
    </row>
    <row r="11" customFormat="false" ht="15" hidden="false" customHeight="false" outlineLevel="0" collapsed="false">
      <c r="A11" s="12"/>
      <c r="B11" s="22" t="str">
        <f aca="false">IF(A11="","",COUNTIF(記録!$G$6:$G$205,A11))</f>
        <v/>
      </c>
      <c r="C11" s="16" t="str">
        <f aca="false">IF(A11="","",COUNTIFS(記録!$G$6:$G$205,A11,記録!$P$6:$P$205,"○"))</f>
        <v/>
      </c>
      <c r="D11" s="22" t="str">
        <f aca="false">IF(A11="","",MAX(0,設定!$B$10-C11))</f>
        <v/>
      </c>
      <c r="E11" s="18"/>
      <c r="F11" s="18"/>
      <c r="G11" s="22" t="str">
        <f aca="false">IF(A11="","",(C11&gt;=設定!$B$10)+(E11="はい")+(F11="はい"))</f>
        <v/>
      </c>
      <c r="H11" s="11" t="str">
        <f aca="false">IF(A11="","",IF(G11&gt;=2,"note化のサイン！構成づくりへ（特典① 応用H）",IF(C11&gt;=3,"ミニnote（数百円）も検討できる","アタリを育てて魚拓を増やす")))</f>
        <v/>
      </c>
    </row>
    <row r="12" customFormat="false" ht="15" hidden="false" customHeight="false" outlineLevel="0" collapsed="false">
      <c r="A12" s="12"/>
      <c r="B12" s="22" t="str">
        <f aca="false">IF(A12="","",COUNTIF(記録!$G$6:$G$205,A12))</f>
        <v/>
      </c>
      <c r="C12" s="16" t="str">
        <f aca="false">IF(A12="","",COUNTIFS(記録!$G$6:$G$205,A12,記録!$P$6:$P$205,"○"))</f>
        <v/>
      </c>
      <c r="D12" s="22" t="str">
        <f aca="false">IF(A12="","",MAX(0,設定!$B$10-C12))</f>
        <v/>
      </c>
      <c r="E12" s="18"/>
      <c r="F12" s="18"/>
      <c r="G12" s="22" t="str">
        <f aca="false">IF(A12="","",(C12&gt;=設定!$B$10)+(E12="はい")+(F12="はい"))</f>
        <v/>
      </c>
      <c r="H12" s="11" t="str">
        <f aca="false">IF(A12="","",IF(G12&gt;=2,"note化のサイン！構成づくりへ（特典① 応用H）",IF(C12&gt;=3,"ミニnote（数百円）も検討できる","アタリを育てて魚拓を増やす")))</f>
        <v/>
      </c>
    </row>
    <row r="13" customFormat="false" ht="15" hidden="false" customHeight="false" outlineLevel="0" collapsed="false">
      <c r="A13" s="12"/>
      <c r="B13" s="22" t="str">
        <f aca="false">IF(A13="","",COUNTIF(記録!$G$6:$G$205,A13))</f>
        <v/>
      </c>
      <c r="C13" s="16" t="str">
        <f aca="false">IF(A13="","",COUNTIFS(記録!$G$6:$G$205,A13,記録!$P$6:$P$205,"○"))</f>
        <v/>
      </c>
      <c r="D13" s="22" t="str">
        <f aca="false">IF(A13="","",MAX(0,設定!$B$10-C13))</f>
        <v/>
      </c>
      <c r="E13" s="18"/>
      <c r="F13" s="18"/>
      <c r="G13" s="22" t="str">
        <f aca="false">IF(A13="","",(C13&gt;=設定!$B$10)+(E13="はい")+(F13="はい"))</f>
        <v/>
      </c>
      <c r="H13" s="11" t="str">
        <f aca="false">IF(A13="","",IF(G13&gt;=2,"note化のサイン！構成づくりへ（特典① 応用H）",IF(C13&gt;=3,"ミニnote（数百円）も検討できる","アタリを育てて魚拓を増やす")))</f>
        <v/>
      </c>
    </row>
    <row r="14" customFormat="false" ht="15" hidden="false" customHeight="false" outlineLevel="0" collapsed="false">
      <c r="A14" s="12"/>
      <c r="B14" s="22" t="str">
        <f aca="false">IF(A14="","",COUNTIF(記録!$G$6:$G$205,A14))</f>
        <v/>
      </c>
      <c r="C14" s="16" t="str">
        <f aca="false">IF(A14="","",COUNTIFS(記録!$G$6:$G$205,A14,記録!$P$6:$P$205,"○"))</f>
        <v/>
      </c>
      <c r="D14" s="22" t="str">
        <f aca="false">IF(A14="","",MAX(0,設定!$B$10-C14))</f>
        <v/>
      </c>
      <c r="E14" s="18"/>
      <c r="F14" s="18"/>
      <c r="G14" s="22" t="str">
        <f aca="false">IF(A14="","",(C14&gt;=設定!$B$10)+(E14="はい")+(F14="はい"))</f>
        <v/>
      </c>
      <c r="H14" s="11" t="str">
        <f aca="false">IF(A14="","",IF(G14&gt;=2,"note化のサイン！構成づくりへ（特典① 応用H）",IF(C14&gt;=3,"ミニnote（数百円）も検討できる","アタリを育てて魚拓を増やす")))</f>
        <v/>
      </c>
    </row>
    <row r="15" customFormat="false" ht="15" hidden="false" customHeight="false" outlineLevel="0" collapsed="false">
      <c r="A15" s="12"/>
      <c r="B15" s="22" t="str">
        <f aca="false">IF(A15="","",COUNTIF(記録!$G$6:$G$205,A15))</f>
        <v/>
      </c>
      <c r="C15" s="16" t="str">
        <f aca="false">IF(A15="","",COUNTIFS(記録!$G$6:$G$205,A15,記録!$P$6:$P$205,"○"))</f>
        <v/>
      </c>
      <c r="D15" s="22" t="str">
        <f aca="false">IF(A15="","",MAX(0,設定!$B$10-C15))</f>
        <v/>
      </c>
      <c r="E15" s="18"/>
      <c r="F15" s="18"/>
      <c r="G15" s="22" t="str">
        <f aca="false">IF(A15="","",(C15&gt;=設定!$B$10)+(E15="はい")+(F15="はい"))</f>
        <v/>
      </c>
      <c r="H15" s="11" t="str">
        <f aca="false">IF(A15="","",IF(G15&gt;=2,"note化のサイン！構成づくりへ（特典① 応用H）",IF(C15&gt;=3,"ミニnote（数百円）も検討できる","アタリを育てて魚拓を増やす")))</f>
        <v/>
      </c>
    </row>
    <row r="16" customFormat="false" ht="15" hidden="false" customHeight="false" outlineLevel="0" collapsed="false">
      <c r="A16" s="12"/>
      <c r="B16" s="22" t="str">
        <f aca="false">IF(A16="","",COUNTIF(記録!$G$6:$G$205,A16))</f>
        <v/>
      </c>
      <c r="C16" s="16" t="str">
        <f aca="false">IF(A16="","",COUNTIFS(記録!$G$6:$G$205,A16,記録!$P$6:$P$205,"○"))</f>
        <v/>
      </c>
      <c r="D16" s="22" t="str">
        <f aca="false">IF(A16="","",MAX(0,設定!$B$10-C16))</f>
        <v/>
      </c>
      <c r="E16" s="18"/>
      <c r="F16" s="18"/>
      <c r="G16" s="22" t="str">
        <f aca="false">IF(A16="","",(C16&gt;=設定!$B$10)+(E16="はい")+(F16="はい"))</f>
        <v/>
      </c>
      <c r="H16" s="11" t="str">
        <f aca="false">IF(A16="","",IF(G16&gt;=2,"note化のサイン！構成づくりへ（特典① 応用H）",IF(C16&gt;=3,"ミニnote（数百円）も検討できる","アタリを育てて魚拓を増やす")))</f>
        <v/>
      </c>
    </row>
    <row r="17" customFormat="false" ht="15" hidden="false" customHeight="false" outlineLevel="0" collapsed="false">
      <c r="A17" s="12"/>
      <c r="B17" s="22" t="str">
        <f aca="false">IF(A17="","",COUNTIF(記録!$G$6:$G$205,A17))</f>
        <v/>
      </c>
      <c r="C17" s="16" t="str">
        <f aca="false">IF(A17="","",COUNTIFS(記録!$G$6:$G$205,A17,記録!$P$6:$P$205,"○"))</f>
        <v/>
      </c>
      <c r="D17" s="22" t="str">
        <f aca="false">IF(A17="","",MAX(0,設定!$B$10-C17))</f>
        <v/>
      </c>
      <c r="E17" s="18"/>
      <c r="F17" s="18"/>
      <c r="G17" s="22" t="str">
        <f aca="false">IF(A17="","",(C17&gt;=設定!$B$10)+(E17="はい")+(F17="はい"))</f>
        <v/>
      </c>
      <c r="H17" s="11" t="str">
        <f aca="false">IF(A17="","",IF(G17&gt;=2,"note化のサイン！構成づくりへ（特典① 応用H）",IF(C17&gt;=3,"ミニnote（数百円）も検討できる","アタリを育てて魚拓を増やす")))</f>
        <v/>
      </c>
    </row>
    <row r="18" customFormat="false" ht="15" hidden="false" customHeight="false" outlineLevel="0" collapsed="false">
      <c r="A18" s="12"/>
      <c r="B18" s="22" t="str">
        <f aca="false">IF(A18="","",COUNTIF(記録!$G$6:$G$205,A18))</f>
        <v/>
      </c>
      <c r="C18" s="16" t="str">
        <f aca="false">IF(A18="","",COUNTIFS(記録!$G$6:$G$205,A18,記録!$P$6:$P$205,"○"))</f>
        <v/>
      </c>
      <c r="D18" s="22" t="str">
        <f aca="false">IF(A18="","",MAX(0,設定!$B$10-C18))</f>
        <v/>
      </c>
      <c r="E18" s="18"/>
      <c r="F18" s="18"/>
      <c r="G18" s="22" t="str">
        <f aca="false">IF(A18="","",(C18&gt;=設定!$B$10)+(E18="はい")+(F18="はい"))</f>
        <v/>
      </c>
      <c r="H18" s="11" t="str">
        <f aca="false">IF(A18="","",IF(G18&gt;=2,"note化のサイン！構成づくりへ（特典① 応用H）",IF(C18&gt;=3,"ミニnote（数百円）も検討できる","アタリを育てて魚拓を増やす")))</f>
        <v/>
      </c>
    </row>
    <row r="19" customFormat="false" ht="15" hidden="false" customHeight="false" outlineLevel="0" collapsed="false">
      <c r="A19" s="12"/>
      <c r="B19" s="22" t="str">
        <f aca="false">IF(A19="","",COUNTIF(記録!$G$6:$G$205,A19))</f>
        <v/>
      </c>
      <c r="C19" s="16" t="str">
        <f aca="false">IF(A19="","",COUNTIFS(記録!$G$6:$G$205,A19,記録!$P$6:$P$205,"○"))</f>
        <v/>
      </c>
      <c r="D19" s="22" t="str">
        <f aca="false">IF(A19="","",MAX(0,設定!$B$10-C19))</f>
        <v/>
      </c>
      <c r="E19" s="18"/>
      <c r="F19" s="18"/>
      <c r="G19" s="22" t="str">
        <f aca="false">IF(A19="","",(C19&gt;=設定!$B$10)+(E19="はい")+(F19="はい"))</f>
        <v/>
      </c>
      <c r="H19" s="11" t="str">
        <f aca="false">IF(A19="","",IF(G19&gt;=2,"note化のサイン！構成づくりへ（特典① 応用H）",IF(C19&gt;=3,"ミニnote（数百円）も検討できる","アタリを育てて魚拓を増やす")))</f>
        <v/>
      </c>
    </row>
    <row r="21" customFormat="false" ht="15" hidden="false" customHeight="false" outlineLevel="0" collapsed="false">
      <c r="A21" s="15" t="s">
        <v>117</v>
      </c>
    </row>
  </sheetData>
  <conditionalFormatting sqref="H5:H19">
    <cfRule type="expression" priority="2" aboveAverage="0" equalAverage="0" bottom="0" percent="0" rank="0" text="" dxfId="0">
      <formula>LEFT($H5,6)="note化のサ"</formula>
    </cfRule>
  </conditionalFormatting>
  <conditionalFormatting sqref="C5:C19">
    <cfRule type="dataBar" priority="3">
      <dataBar showValue="1" minLength="10" maxLength="90">
        <cfvo type="num" val="0"/>
        <cfvo type="num" val="5"/>
        <color rgb="FFF4A261"/>
      </dataBar>
      <extLst>
        <ext xmlns:x14="http://schemas.microsoft.com/office/spreadsheetml/2009/9/main" uri="{B025F937-C7B1-47D3-B67F-A62EFF666E3E}">
          <x14:id>{F7889734-F9C0-4DB9-8DE8-8F35BFEF4417}</x14:id>
        </ext>
      </extLst>
    </cfRule>
  </conditionalFormatting>
  <dataValidations count="1">
    <dataValidation allowBlank="true" errorStyle="stop" operator="between" showDropDown="false" showErrorMessage="false" showInputMessage="false" sqref="E5:F19" type="list">
      <formula1>"はい,いいえ"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889734-F9C0-4DB9-8DE8-8F35BFEF4417}">
            <x14:dataBar minLength="10" maxLength="90" axisPosition="none" gradient="true">
              <x14:cfvo type="num">
                <xm:f>0</xm:f>
              </x14:cfvo>
              <x14:cfvo type="num">
                <xm:f>5</xm:f>
              </x14:cfvo>
              <x14:negativeFillColor rgb="FFF4A261"/>
              <x14:axisColor rgb="FF000000"/>
            </x14:dataBar>
          </x14:cfRule>
          <xm:sqref>C5:C19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2026-10-04T18:44:24Z</dcterms:created>
  <dc:creator>openpyxl</dc:creator>
  <dc:description/>
  <dc:language>en-US</dc:language>
  <cp:lastModifiedBy/>
  <dcterms:modified xsi:type="dcterms:W3CDTF">2026-10-04T18:44:24Z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