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使い方" sheetId="1" state="visible" r:id="rId3"/>
    <sheet name="今日のやること" sheetId="2" state="visible" r:id="rId4"/>
    <sheet name="育成ボード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<sst xmlns="http://schemas.openxmlformats.org/spreadsheetml/2006/main" count="107" uniqueCount="99">
  <si>
    <r>
      <rPr>
        <b val="true"/>
        <sz val="16"/>
        <color rgb="FF1F3A5F"/>
        <rFont val="Yu Gothic"/>
        <family val="2"/>
      </rPr>
      <t xml:space="preserve">特典③ </t>
    </r>
    <r>
      <rPr>
        <b val="true"/>
        <sz val="16"/>
        <color rgb="FF1F3A5F"/>
        <rFont val="Yu Gothic"/>
        <family val="0"/>
        <charset val="1"/>
      </rPr>
      <t xml:space="preserve">7</t>
    </r>
    <r>
      <rPr>
        <b val="true"/>
        <sz val="16"/>
        <color rgb="FF1F3A5F"/>
        <rFont val="Yu Gothic"/>
        <family val="2"/>
      </rPr>
      <t xml:space="preserve">日育成カレンダー</t>
    </r>
  </si>
  <si>
    <r>
      <rPr>
        <sz val="10"/>
        <color rgb="FF595959"/>
        <rFont val="Yu Gothic"/>
        <family val="2"/>
      </rPr>
      <t xml:space="preserve">出した</t>
    </r>
    <r>
      <rPr>
        <sz val="10"/>
        <color rgb="FF595959"/>
        <rFont val="Yu Gothic"/>
        <family val="0"/>
        <charset val="1"/>
      </rPr>
      <t xml:space="preserve">1</t>
    </r>
    <r>
      <rPr>
        <sz val="10"/>
        <color rgb="FF595959"/>
        <rFont val="Yu Gothic"/>
        <family val="2"/>
      </rPr>
      <t xml:space="preserve">本を、</t>
    </r>
    <r>
      <rPr>
        <sz val="10"/>
        <color rgb="FF595959"/>
        <rFont val="Yu Gothic"/>
        <family val="0"/>
        <charset val="1"/>
      </rPr>
      <t xml:space="preserve">7</t>
    </r>
    <r>
      <rPr>
        <sz val="10"/>
        <color rgb="FF595959"/>
        <rFont val="Yu Gothic"/>
        <family val="2"/>
      </rPr>
      <t xml:space="preserve">日間かけて使い切る。量産しない、</t>
    </r>
    <r>
      <rPr>
        <sz val="10"/>
        <color rgb="FF595959"/>
        <rFont val="Yu Gothic"/>
        <family val="0"/>
        <charset val="1"/>
      </rPr>
      <t xml:space="preserve">1</t>
    </r>
    <r>
      <rPr>
        <sz val="10"/>
        <color rgb="FF595959"/>
        <rFont val="Yu Gothic"/>
        <family val="2"/>
      </rPr>
      <t xml:space="preserve">本で釣る。</t>
    </r>
  </si>
  <si>
    <t xml:space="preserve">■ このシートでできること</t>
  </si>
  <si>
    <r>
      <rPr>
        <sz val="10"/>
        <color rgb="FF000000"/>
        <rFont val="Yu Gothic"/>
        <family val="2"/>
      </rPr>
      <t xml:space="preserve">・「育成ボード」に投稿日と</t>
    </r>
    <r>
      <rPr>
        <sz val="10"/>
        <color rgb="FF000000"/>
        <rFont val="Yu Gothic"/>
        <family val="0"/>
        <charset val="1"/>
      </rPr>
      <t xml:space="preserve">1</t>
    </r>
    <r>
      <rPr>
        <sz val="10"/>
        <color rgb="FF000000"/>
        <rFont val="Yu Gothic"/>
        <family val="2"/>
      </rPr>
      <t xml:space="preserve">行目を入れると、今日どの投稿の何日目かが自動でオレンジ色に光ります</t>
    </r>
  </si>
  <si>
    <t xml:space="preserve">・「今日のやること」シートを開けば、今日やる育成作業が一覧で出ます（日付は自動で今日になります）</t>
  </si>
  <si>
    <r>
      <rPr>
        <sz val="10"/>
        <color rgb="FF000000"/>
        <rFont val="Yu Gothic"/>
        <family val="2"/>
      </rPr>
      <t xml:space="preserve">・作業が終わったら「✓」を選ぶだけ。</t>
    </r>
    <r>
      <rPr>
        <sz val="10"/>
        <color rgb="FF000000"/>
        <rFont val="Yu Gothic"/>
        <family val="0"/>
        <charset val="1"/>
      </rPr>
      <t xml:space="preserve">7</t>
    </r>
    <r>
      <rPr>
        <sz val="10"/>
        <color rgb="FF000000"/>
        <rFont val="Yu Gothic"/>
        <family val="2"/>
      </rPr>
      <t xml:space="preserve">日分の育成状況が一目でわかります</t>
    </r>
  </si>
  <si>
    <t xml:space="preserve">■ 入力するのは黄色いセルだけ</t>
  </si>
  <si>
    <r>
      <rPr>
        <sz val="10"/>
        <color rgb="FF000000"/>
        <rFont val="Yu Gothic"/>
        <family val="2"/>
      </rPr>
      <t xml:space="preserve">・投稿日（例：</t>
    </r>
    <r>
      <rPr>
        <sz val="10"/>
        <color rgb="FF000000"/>
        <rFont val="Yu Gothic"/>
        <family val="0"/>
        <charset val="1"/>
      </rPr>
      <t xml:space="preserve">2026/10/05</t>
    </r>
    <r>
      <rPr>
        <sz val="10"/>
        <color rgb="FF000000"/>
        <rFont val="Yu Gothic"/>
        <family val="2"/>
      </rPr>
      <t xml:space="preserve">）／型（プルダウン）／</t>
    </r>
    <r>
      <rPr>
        <sz val="10"/>
        <color rgb="FF000000"/>
        <rFont val="Yu Gothic"/>
        <family val="0"/>
        <charset val="1"/>
      </rPr>
      <t xml:space="preserve">1</t>
    </r>
    <r>
      <rPr>
        <sz val="10"/>
        <color rgb="FF000000"/>
        <rFont val="Yu Gothic"/>
        <family val="2"/>
      </rPr>
      <t xml:space="preserve">行目（コピペ）／</t>
    </r>
    <r>
      <rPr>
        <sz val="10"/>
        <color rgb="FF000000"/>
        <rFont val="Yu Gothic"/>
        <family val="0"/>
        <charset val="1"/>
      </rPr>
      <t xml:space="preserve">Day3</t>
    </r>
    <r>
      <rPr>
        <sz val="10"/>
        <color rgb="FF000000"/>
        <rFont val="Yu Gothic"/>
        <family val="2"/>
      </rPr>
      <t xml:space="preserve">の判定（○ </t>
    </r>
    <r>
      <rPr>
        <sz val="10"/>
        <color rgb="FF000000"/>
        <rFont val="Yu Gothic"/>
        <family val="0"/>
        <charset val="1"/>
      </rPr>
      <t xml:space="preserve">/ ×</t>
    </r>
    <r>
      <rPr>
        <sz val="10"/>
        <color rgb="FF000000"/>
        <rFont val="Yu Gothic"/>
        <family val="2"/>
      </rPr>
      <t xml:space="preserve">）</t>
    </r>
  </si>
  <si>
    <r>
      <rPr>
        <sz val="10"/>
        <color rgb="FF000000"/>
        <rFont val="Yu Gothic"/>
        <family val="2"/>
      </rPr>
      <t xml:space="preserve">・</t>
    </r>
    <r>
      <rPr>
        <sz val="10"/>
        <color rgb="FF000000"/>
        <rFont val="Yu Gothic"/>
        <family val="0"/>
        <charset val="1"/>
      </rPr>
      <t xml:space="preserve">Day1</t>
    </r>
    <r>
      <rPr>
        <sz val="10"/>
        <color rgb="FF000000"/>
        <rFont val="Yu Gothic"/>
        <family val="2"/>
      </rPr>
      <t xml:space="preserve">〜</t>
    </r>
    <r>
      <rPr>
        <sz val="10"/>
        <color rgb="FF000000"/>
        <rFont val="Yu Gothic"/>
        <family val="0"/>
        <charset val="1"/>
      </rPr>
      <t xml:space="preserve">Day7</t>
    </r>
    <r>
      <rPr>
        <sz val="10"/>
        <color rgb="FF000000"/>
        <rFont val="Yu Gothic"/>
        <family val="2"/>
      </rPr>
      <t xml:space="preserve">の欄は、作業が終わったら「✓」を選びます。</t>
    </r>
    <r>
      <rPr>
        <sz val="10"/>
        <color rgb="FF000000"/>
        <rFont val="Yu Gothic"/>
        <family val="0"/>
        <charset val="1"/>
      </rPr>
      <t xml:space="preserve">Day4</t>
    </r>
    <r>
      <rPr>
        <sz val="10"/>
        <color rgb="FF000000"/>
        <rFont val="Yu Gothic"/>
        <family val="2"/>
      </rPr>
      <t xml:space="preserve">はアタリでなければ「</t>
    </r>
    <r>
      <rPr>
        <sz val="10"/>
        <color rgb="FF000000"/>
        <rFont val="Yu Gothic"/>
        <family val="0"/>
        <charset val="1"/>
      </rPr>
      <t xml:space="preserve">-</t>
    </r>
    <r>
      <rPr>
        <sz val="10"/>
        <color rgb="FF000000"/>
        <rFont val="Yu Gothic"/>
        <family val="2"/>
      </rPr>
      <t xml:space="preserve">」（今回は置かない）を選びます</t>
    </r>
  </si>
  <si>
    <t xml:space="preserve">・灰色や白のセルは自動計算です。触らなくて大丈夫です</t>
  </si>
  <si>
    <r>
      <rPr>
        <b val="true"/>
        <sz val="12"/>
        <color rgb="FF1F3A5F"/>
        <rFont val="Yu Gothic"/>
        <family val="2"/>
      </rPr>
      <t xml:space="preserve">■ 毎日の使い方（</t>
    </r>
    <r>
      <rPr>
        <b val="true"/>
        <sz val="12"/>
        <color rgb="FF1F3A5F"/>
        <rFont val="Yu Gothic"/>
        <family val="0"/>
        <charset val="1"/>
      </rPr>
      <t xml:space="preserve">2</t>
    </r>
    <r>
      <rPr>
        <b val="true"/>
        <sz val="12"/>
        <color rgb="FF1F3A5F"/>
        <rFont val="Yu Gothic"/>
        <family val="2"/>
      </rPr>
      <t xml:space="preserve">〜</t>
    </r>
    <r>
      <rPr>
        <b val="true"/>
        <sz val="12"/>
        <color rgb="FF1F3A5F"/>
        <rFont val="Yu Gothic"/>
        <family val="0"/>
        <charset val="1"/>
      </rPr>
      <t xml:space="preserve">3</t>
    </r>
    <r>
      <rPr>
        <b val="true"/>
        <sz val="12"/>
        <color rgb="FF1F3A5F"/>
        <rFont val="Yu Gothic"/>
        <family val="2"/>
      </rPr>
      <t xml:space="preserve">分）</t>
    </r>
  </si>
  <si>
    <r>
      <rPr>
        <sz val="10"/>
        <color rgb="FF000000"/>
        <rFont val="Yu Gothic"/>
        <family val="0"/>
        <charset val="1"/>
      </rPr>
      <t xml:space="preserve">1. </t>
    </r>
    <r>
      <rPr>
        <sz val="10"/>
        <color rgb="FF000000"/>
        <rFont val="Yu Gothic"/>
        <family val="2"/>
      </rPr>
      <t xml:space="preserve">平日</t>
    </r>
    <r>
      <rPr>
        <sz val="10"/>
        <color rgb="FF000000"/>
        <rFont val="Yu Gothic"/>
        <family val="0"/>
        <charset val="1"/>
      </rPr>
      <t xml:space="preserve">15</t>
    </r>
    <r>
      <rPr>
        <sz val="10"/>
        <color rgb="FF000000"/>
        <rFont val="Yu Gothic"/>
        <family val="2"/>
      </rPr>
      <t xml:space="preserve">分の最初に「今日のやること」シートを開く</t>
    </r>
  </si>
  <si>
    <r>
      <rPr>
        <sz val="10"/>
        <color rgb="FF000000"/>
        <rFont val="Yu Gothic"/>
        <family val="0"/>
        <charset val="1"/>
      </rPr>
      <t xml:space="preserve">2. </t>
    </r>
    <r>
      <rPr>
        <sz val="10"/>
        <color rgb="FF000000"/>
        <rFont val="Yu Gothic"/>
        <family val="2"/>
      </rPr>
      <t xml:space="preserve">表示された育成作業を、上から順にやる（</t>
    </r>
    <r>
      <rPr>
        <sz val="10"/>
        <color rgb="FF000000"/>
        <rFont val="Yu Gothic"/>
        <family val="0"/>
        <charset val="1"/>
      </rPr>
      <t xml:space="preserve">1</t>
    </r>
    <r>
      <rPr>
        <sz val="10"/>
        <color rgb="FF000000"/>
        <rFont val="Yu Gothic"/>
        <family val="2"/>
      </rPr>
      <t xml:space="preserve">つ</t>
    </r>
    <r>
      <rPr>
        <sz val="10"/>
        <color rgb="FF000000"/>
        <rFont val="Yu Gothic"/>
        <family val="0"/>
        <charset val="1"/>
      </rPr>
      <t xml:space="preserve">30</t>
    </r>
    <r>
      <rPr>
        <sz val="10"/>
        <color rgb="FF000000"/>
        <rFont val="Yu Gothic"/>
        <family val="2"/>
      </rPr>
      <t xml:space="preserve">秒〜</t>
    </r>
    <r>
      <rPr>
        <sz val="10"/>
        <color rgb="FF000000"/>
        <rFont val="Yu Gothic"/>
        <family val="0"/>
        <charset val="1"/>
      </rPr>
      <t xml:space="preserve">1</t>
    </r>
    <r>
      <rPr>
        <sz val="10"/>
        <color rgb="FF000000"/>
        <rFont val="Yu Gothic"/>
        <family val="2"/>
      </rPr>
      <t xml:space="preserve">分）</t>
    </r>
  </si>
  <si>
    <r>
      <rPr>
        <sz val="10"/>
        <color rgb="FF000000"/>
        <rFont val="Yu Gothic"/>
        <family val="0"/>
        <charset val="1"/>
      </rPr>
      <t xml:space="preserve">3. </t>
    </r>
    <r>
      <rPr>
        <sz val="10"/>
        <color rgb="FF000000"/>
        <rFont val="Yu Gothic"/>
        <family val="2"/>
      </rPr>
      <t xml:space="preserve">「育成ボード」で該当の日に✓をつける</t>
    </r>
  </si>
  <si>
    <r>
      <rPr>
        <sz val="10"/>
        <color rgb="FF000000"/>
        <rFont val="Yu Gothic"/>
        <family val="0"/>
        <charset val="1"/>
      </rPr>
      <t xml:space="preserve">4. </t>
    </r>
    <r>
      <rPr>
        <sz val="10"/>
        <color rgb="FF000000"/>
        <rFont val="Yu Gothic"/>
        <family val="2"/>
      </rPr>
      <t xml:space="preserve">そのあと、今日の新しい</t>
    </r>
    <r>
      <rPr>
        <sz val="10"/>
        <color rgb="FF000000"/>
        <rFont val="Yu Gothic"/>
        <family val="0"/>
        <charset val="1"/>
      </rPr>
      <t xml:space="preserve">1</t>
    </r>
    <r>
      <rPr>
        <sz val="10"/>
        <color rgb="FF000000"/>
        <rFont val="Yu Gothic"/>
        <family val="2"/>
      </rPr>
      <t xml:space="preserve">本を作る（特典①②）</t>
    </r>
  </si>
  <si>
    <r>
      <rPr>
        <b val="true"/>
        <sz val="12"/>
        <color rgb="FF1F3A5F"/>
        <rFont val="Yu Gothic"/>
        <family val="0"/>
        <charset val="1"/>
      </rPr>
      <t xml:space="preserve">■ 7</t>
    </r>
    <r>
      <rPr>
        <b val="true"/>
        <sz val="12"/>
        <color rgb="FF1F3A5F"/>
        <rFont val="Yu Gothic"/>
        <family val="2"/>
      </rPr>
      <t xml:space="preserve">日間の育成メニュー</t>
    </r>
  </si>
  <si>
    <t xml:space="preserve">日</t>
  </si>
  <si>
    <t xml:space="preserve">タイミング</t>
  </si>
  <si>
    <t xml:space="preserve">作業名</t>
  </si>
  <si>
    <t xml:space="preserve">やること</t>
  </si>
  <si>
    <t xml:space="preserve">使うプロンプト（特典①）</t>
  </si>
  <si>
    <t xml:space="preserve">Day1</t>
  </si>
  <si>
    <t xml:space="preserve">投稿日</t>
  </si>
  <si>
    <t xml:space="preserve">返信</t>
  </si>
  <si>
    <r>
      <rPr>
        <sz val="10"/>
        <color rgb="FF000000"/>
        <rFont val="Yu Gothic"/>
        <family val="2"/>
      </rPr>
      <t xml:space="preserve">投稿後</t>
    </r>
    <r>
      <rPr>
        <sz val="10"/>
        <color rgb="FF000000"/>
        <rFont val="Yu Gothic"/>
        <family val="0"/>
        <charset val="1"/>
      </rPr>
      <t xml:space="preserve">1</t>
    </r>
    <r>
      <rPr>
        <sz val="10"/>
        <color rgb="FF000000"/>
        <rFont val="Yu Gothic"/>
        <family val="2"/>
      </rPr>
      <t xml:space="preserve">時間以内についたコメントに、間をあけながら</t>
    </r>
    <r>
      <rPr>
        <sz val="10"/>
        <color rgb="FF000000"/>
        <rFont val="Yu Gothic"/>
        <family val="0"/>
        <charset val="1"/>
      </rPr>
      <t xml:space="preserve">1</t>
    </r>
    <r>
      <rPr>
        <sz val="10"/>
        <color rgb="FF000000"/>
        <rFont val="Yu Gothic"/>
        <family val="2"/>
      </rPr>
      <t xml:space="preserve">件ずつ返信する（同じ文面のコピペ返信はしない）</t>
    </r>
  </si>
  <si>
    <r>
      <rPr>
        <sz val="10"/>
        <color rgb="FF000000"/>
        <rFont val="Yu Gothic"/>
        <family val="2"/>
      </rPr>
      <t xml:space="preserve">応用</t>
    </r>
    <r>
      <rPr>
        <sz val="10"/>
        <color rgb="FF000000"/>
        <rFont val="Yu Gothic"/>
        <family val="0"/>
        <charset val="1"/>
      </rPr>
      <t xml:space="preserve">C</t>
    </r>
  </si>
  <si>
    <t xml:space="preserve">Day2</t>
  </si>
  <si>
    <t xml:space="preserve">翌日</t>
  </si>
  <si>
    <t xml:space="preserve">追記</t>
  </si>
  <si>
    <r>
      <rPr>
        <sz val="10"/>
        <color rgb="FF000000"/>
        <rFont val="Yu Gothic"/>
        <family val="2"/>
      </rPr>
      <t xml:space="preserve">自分のコメント欄に「追記」を</t>
    </r>
    <r>
      <rPr>
        <sz val="10"/>
        <color rgb="FF000000"/>
        <rFont val="Yu Gothic"/>
        <family val="0"/>
        <charset val="1"/>
      </rPr>
      <t xml:space="preserve">1</t>
    </r>
    <r>
      <rPr>
        <sz val="10"/>
        <color rgb="FF000000"/>
        <rFont val="Yu Gothic"/>
        <family val="2"/>
      </rPr>
      <t xml:space="preserve">つ。失敗談・小ワザ・その後のどれか。リンクは入れない</t>
    </r>
  </si>
  <si>
    <r>
      <rPr>
        <sz val="10"/>
        <color rgb="FF000000"/>
        <rFont val="Yu Gothic"/>
        <family val="2"/>
      </rPr>
      <t xml:space="preserve">応用</t>
    </r>
    <r>
      <rPr>
        <sz val="10"/>
        <color rgb="FF000000"/>
        <rFont val="Yu Gothic"/>
        <family val="0"/>
        <charset val="1"/>
      </rPr>
      <t xml:space="preserve">B</t>
    </r>
  </si>
  <si>
    <t xml:space="preserve">Day3</t>
  </si>
  <si>
    <r>
      <rPr>
        <sz val="10"/>
        <color rgb="FF000000"/>
        <rFont val="Yu Gothic"/>
        <family val="0"/>
        <charset val="1"/>
      </rPr>
      <t xml:space="preserve">2</t>
    </r>
    <r>
      <rPr>
        <sz val="10"/>
        <color rgb="FF000000"/>
        <rFont val="Yu Gothic"/>
        <family val="2"/>
      </rPr>
      <t xml:space="preserve">日後</t>
    </r>
  </si>
  <si>
    <t xml:space="preserve">判定</t>
  </si>
  <si>
    <t xml:space="preserve">保存数・コメント数を見て「アタリ（○）」か判定。基準は釣果ノートの設定と同じ</t>
  </si>
  <si>
    <t xml:space="preserve">釣果ノート</t>
  </si>
  <si>
    <t xml:space="preserve">Day4</t>
  </si>
  <si>
    <r>
      <rPr>
        <sz val="10"/>
        <color rgb="FF000000"/>
        <rFont val="Yu Gothic"/>
        <family val="0"/>
        <charset val="1"/>
      </rPr>
      <t xml:space="preserve">3</t>
    </r>
    <r>
      <rPr>
        <sz val="10"/>
        <color rgb="FF000000"/>
        <rFont val="Yu Gothic"/>
        <family val="2"/>
      </rPr>
      <t xml:space="preserve">日後</t>
    </r>
  </si>
  <si>
    <t xml:space="preserve">リンク</t>
  </si>
  <si>
    <r>
      <rPr>
        <sz val="10"/>
        <color rgb="FF000000"/>
        <rFont val="Yu Gothic"/>
        <family val="2"/>
      </rPr>
      <t xml:space="preserve">アタリの投稿だけ、コメント欄に楽天のリンクを押しつけない一言＋</t>
    </r>
    <r>
      <rPr>
        <sz val="10"/>
        <color rgb="FF000000"/>
        <rFont val="Yu Gothic"/>
        <family val="0"/>
        <charset val="1"/>
      </rPr>
      <t xml:space="preserve">#PR</t>
    </r>
    <r>
      <rPr>
        <sz val="10"/>
        <color rgb="FF000000"/>
        <rFont val="Yu Gothic"/>
        <family val="2"/>
      </rPr>
      <t xml:space="preserve">で置く。アタリでなければ何もしない</t>
    </r>
  </si>
  <si>
    <r>
      <rPr>
        <sz val="10"/>
        <color rgb="FF000000"/>
        <rFont val="Yu Gothic"/>
        <family val="2"/>
      </rPr>
      <t xml:space="preserve">応用</t>
    </r>
    <r>
      <rPr>
        <sz val="10"/>
        <color rgb="FF000000"/>
        <rFont val="Yu Gothic"/>
        <family val="0"/>
        <charset val="1"/>
      </rPr>
      <t xml:space="preserve">F</t>
    </r>
  </si>
  <si>
    <t xml:space="preserve">Day5</t>
  </si>
  <si>
    <r>
      <rPr>
        <sz val="10"/>
        <color rgb="FF000000"/>
        <rFont val="Yu Gothic"/>
        <family val="0"/>
        <charset val="1"/>
      </rPr>
      <t xml:space="preserve">4</t>
    </r>
    <r>
      <rPr>
        <sz val="10"/>
        <color rgb="FF000000"/>
        <rFont val="Yu Gothic"/>
        <family val="2"/>
      </rPr>
      <t xml:space="preserve">日後</t>
    </r>
  </si>
  <si>
    <t xml:space="preserve">お返事</t>
  </si>
  <si>
    <r>
      <rPr>
        <sz val="10"/>
        <color rgb="FF000000"/>
        <rFont val="Yu Gothic"/>
        <family val="2"/>
      </rPr>
      <t xml:space="preserve">集まったコメントをもとに「お返事投稿」を新しい</t>
    </r>
    <r>
      <rPr>
        <sz val="10"/>
        <color rgb="FF000000"/>
        <rFont val="Yu Gothic"/>
        <family val="0"/>
        <charset val="1"/>
      </rPr>
      <t xml:space="preserve">1</t>
    </r>
    <r>
      <rPr>
        <sz val="10"/>
        <color rgb="FF000000"/>
        <rFont val="Yu Gothic"/>
        <family val="2"/>
      </rPr>
      <t xml:space="preserve">本として出す（コメントが少なければスキップ可）</t>
    </r>
  </si>
  <si>
    <r>
      <rPr>
        <sz val="10"/>
        <color rgb="FF000000"/>
        <rFont val="Yu Gothic"/>
        <family val="2"/>
      </rPr>
      <t xml:space="preserve">応用</t>
    </r>
    <r>
      <rPr>
        <sz val="10"/>
        <color rgb="FF000000"/>
        <rFont val="Yu Gothic"/>
        <family val="0"/>
        <charset val="1"/>
      </rPr>
      <t xml:space="preserve">D</t>
    </r>
  </si>
  <si>
    <t xml:space="preserve">Day6</t>
  </si>
  <si>
    <r>
      <rPr>
        <sz val="10"/>
        <color rgb="FF000000"/>
        <rFont val="Yu Gothic"/>
        <family val="0"/>
        <charset val="1"/>
      </rPr>
      <t xml:space="preserve">5</t>
    </r>
    <r>
      <rPr>
        <sz val="10"/>
        <color rgb="FF000000"/>
        <rFont val="Yu Gothic"/>
        <family val="2"/>
      </rPr>
      <t xml:space="preserve">日後</t>
    </r>
  </si>
  <si>
    <t xml:space="preserve">別切り口</t>
  </si>
  <si>
    <t xml:space="preserve">同じテーマを別の型で書き直す案を、週末の壁打ちに回すメモを残す</t>
  </si>
  <si>
    <r>
      <rPr>
        <sz val="10"/>
        <color rgb="FF000000"/>
        <rFont val="Yu Gothic"/>
        <family val="2"/>
      </rPr>
      <t xml:space="preserve">応用</t>
    </r>
    <r>
      <rPr>
        <sz val="10"/>
        <color rgb="FF000000"/>
        <rFont val="Yu Gothic"/>
        <family val="0"/>
        <charset val="1"/>
      </rPr>
      <t xml:space="preserve">E</t>
    </r>
  </si>
  <si>
    <t xml:space="preserve">Day7</t>
  </si>
  <si>
    <r>
      <rPr>
        <sz val="10"/>
        <color rgb="FF000000"/>
        <rFont val="Yu Gothic"/>
        <family val="0"/>
        <charset val="1"/>
      </rPr>
      <t xml:space="preserve">6</t>
    </r>
    <r>
      <rPr>
        <sz val="10"/>
        <color rgb="FF000000"/>
        <rFont val="Yu Gothic"/>
        <family val="2"/>
      </rPr>
      <t xml:space="preserve">日後</t>
    </r>
  </si>
  <si>
    <t xml:space="preserve">記録</t>
  </si>
  <si>
    <t xml:space="preserve">釣果ノートに数字を記録して、育成終了</t>
  </si>
  <si>
    <r>
      <rPr>
        <sz val="10"/>
        <color rgb="FF000000"/>
        <rFont val="Yu Gothic"/>
        <family val="2"/>
      </rPr>
      <t xml:space="preserve">釣果ノート</t>
    </r>
    <r>
      <rPr>
        <sz val="10"/>
        <color rgb="FF000000"/>
        <rFont val="Yu Gothic"/>
        <family val="0"/>
        <charset val="1"/>
      </rPr>
      <t xml:space="preserve">/</t>
    </r>
    <r>
      <rPr>
        <sz val="10"/>
        <color rgb="FF000000"/>
        <rFont val="Yu Gothic"/>
        <family val="2"/>
      </rPr>
      <t xml:space="preserve">応用</t>
    </r>
    <r>
      <rPr>
        <sz val="10"/>
        <color rgb="FF000000"/>
        <rFont val="Yu Gothic"/>
        <family val="0"/>
        <charset val="1"/>
      </rPr>
      <t xml:space="preserve">G</t>
    </r>
  </si>
  <si>
    <t xml:space="preserve">■ 守りのルール</t>
  </si>
  <si>
    <r>
      <rPr>
        <sz val="10"/>
        <color rgb="FF000000"/>
        <rFont val="Yu Gothic"/>
        <family val="2"/>
      </rPr>
      <t xml:space="preserve">・返信は時間をあけて</t>
    </r>
    <r>
      <rPr>
        <sz val="10"/>
        <color rgb="FF000000"/>
        <rFont val="Yu Gothic"/>
        <family val="0"/>
        <charset val="1"/>
      </rPr>
      <t xml:space="preserve">1</t>
    </r>
    <r>
      <rPr>
        <sz val="10"/>
        <color rgb="FF000000"/>
        <rFont val="Yu Gothic"/>
        <family val="2"/>
      </rPr>
      <t xml:space="preserve">件ずつ。短時間に大量の返信や同じ文面のくり返しは、スパムのような動きに見えることがあります</t>
    </r>
  </si>
  <si>
    <r>
      <rPr>
        <sz val="10"/>
        <color rgb="FF000000"/>
        <rFont val="Yu Gothic"/>
        <family val="2"/>
      </rPr>
      <t xml:space="preserve">・同じ内容の再投稿はしない。</t>
    </r>
    <r>
      <rPr>
        <sz val="10"/>
        <color rgb="FF000000"/>
        <rFont val="Yu Gothic"/>
        <family val="0"/>
        <charset val="1"/>
      </rPr>
      <t xml:space="preserve">Day6</t>
    </r>
    <r>
      <rPr>
        <sz val="10"/>
        <color rgb="FF000000"/>
        <rFont val="Yu Gothic"/>
        <family val="2"/>
      </rPr>
      <t xml:space="preserve">の書き直しは、型と</t>
    </r>
    <r>
      <rPr>
        <sz val="10"/>
        <color rgb="FF000000"/>
        <rFont val="Yu Gothic"/>
        <family val="0"/>
        <charset val="1"/>
      </rPr>
      <t xml:space="preserve">1</t>
    </r>
    <r>
      <rPr>
        <sz val="10"/>
        <color rgb="FF000000"/>
        <rFont val="Yu Gothic"/>
        <family val="2"/>
      </rPr>
      <t xml:space="preserve">行目を必ず変える</t>
    </r>
  </si>
  <si>
    <r>
      <rPr>
        <sz val="10"/>
        <color rgb="FF000000"/>
        <rFont val="Yu Gothic"/>
        <family val="2"/>
      </rPr>
      <t xml:space="preserve">・リンクには</t>
    </r>
    <r>
      <rPr>
        <sz val="10"/>
        <color rgb="FF000000"/>
        <rFont val="Yu Gothic"/>
        <family val="0"/>
        <charset val="1"/>
      </rPr>
      <t xml:space="preserve">PR</t>
    </r>
    <r>
      <rPr>
        <sz val="10"/>
        <color rgb="FF000000"/>
        <rFont val="Yu Gothic"/>
        <family val="2"/>
      </rPr>
      <t xml:space="preserve">表記（</t>
    </r>
    <r>
      <rPr>
        <sz val="10"/>
        <color rgb="FF000000"/>
        <rFont val="Yu Gothic"/>
        <family val="0"/>
        <charset val="1"/>
      </rPr>
      <t xml:space="preserve">#PR </t>
    </r>
    <r>
      <rPr>
        <sz val="10"/>
        <color rgb="FF000000"/>
        <rFont val="Yu Gothic"/>
        <family val="2"/>
      </rPr>
      <t xml:space="preserve">など）をつける。楽天アフィリエイトの最新の規約は公式ページで確認してください</t>
    </r>
  </si>
  <si>
    <r>
      <rPr>
        <b val="true"/>
        <sz val="12"/>
        <color rgb="FF1F3A5F"/>
        <rFont val="Yu Gothic"/>
        <family val="2"/>
      </rPr>
      <t xml:space="preserve">■ 記入例は「育成ボード」の</t>
    </r>
    <r>
      <rPr>
        <b val="true"/>
        <sz val="12"/>
        <color rgb="FF1F3A5F"/>
        <rFont val="Yu Gothic"/>
        <family val="0"/>
        <charset val="1"/>
      </rPr>
      <t xml:space="preserve">5</t>
    </r>
    <r>
      <rPr>
        <b val="true"/>
        <sz val="12"/>
        <color rgb="FF1F3A5F"/>
        <rFont val="Yu Gothic"/>
        <family val="2"/>
      </rPr>
      <t xml:space="preserve">行目にあります（灰色の行）。自分の投稿を入れるときは</t>
    </r>
    <r>
      <rPr>
        <b val="true"/>
        <sz val="12"/>
        <color rgb="FF1F3A5F"/>
        <rFont val="Yu Gothic"/>
        <family val="0"/>
        <charset val="1"/>
      </rPr>
      <t xml:space="preserve">6</t>
    </r>
    <r>
      <rPr>
        <b val="true"/>
        <sz val="12"/>
        <color rgb="FF1F3A5F"/>
        <rFont val="Yu Gothic"/>
        <family val="2"/>
      </rPr>
      <t xml:space="preserve">行目から使ってください</t>
    </r>
  </si>
  <si>
    <t xml:space="preserve">今日のやること</t>
  </si>
  <si>
    <r>
      <rPr>
        <sz val="10"/>
        <color rgb="FF595959"/>
        <rFont val="Yu Gothic"/>
        <family val="2"/>
      </rPr>
      <t xml:space="preserve">日付は自動で今日になります。別の日を見たいときは、</t>
    </r>
    <r>
      <rPr>
        <sz val="10"/>
        <color rgb="FF595959"/>
        <rFont val="Yu Gothic"/>
        <family val="0"/>
        <charset val="1"/>
      </rPr>
      <t xml:space="preserve">C3</t>
    </r>
    <r>
      <rPr>
        <sz val="10"/>
        <color rgb="FF595959"/>
        <rFont val="Yu Gothic"/>
        <family val="2"/>
      </rPr>
      <t xml:space="preserve">に日付を上書きしてください</t>
    </r>
  </si>
  <si>
    <t xml:space="preserve">対象日</t>
  </si>
  <si>
    <t xml:space="preserve">育成日</t>
  </si>
  <si>
    <t xml:space="preserve">対象の投稿日</t>
  </si>
  <si>
    <r>
      <rPr>
        <b val="true"/>
        <sz val="10"/>
        <color rgb="FFFFFFFF"/>
        <rFont val="Yu Gothic"/>
        <family val="2"/>
      </rPr>
      <t xml:space="preserve">その投稿の</t>
    </r>
    <r>
      <rPr>
        <b val="true"/>
        <sz val="10"/>
        <color rgb="FFFFFFFF"/>
        <rFont val="Yu Gothic"/>
        <family val="0"/>
        <charset val="1"/>
      </rPr>
      <t xml:space="preserve">1</t>
    </r>
    <r>
      <rPr>
        <b val="true"/>
        <sz val="10"/>
        <color rgb="FFFFFFFF"/>
        <rFont val="Yu Gothic"/>
        <family val="2"/>
      </rPr>
      <t xml:space="preserve">行目</t>
    </r>
  </si>
  <si>
    <t xml:space="preserve">今日やること</t>
  </si>
  <si>
    <t xml:space="preserve">状態</t>
  </si>
  <si>
    <r>
      <rPr>
        <sz val="10"/>
        <color rgb="FF000000"/>
        <rFont val="Yu Gothic"/>
        <family val="0"/>
        <charset val="1"/>
      </rPr>
      <t xml:space="preserve">Day1</t>
    </r>
    <r>
      <rPr>
        <sz val="10"/>
        <color rgb="FF000000"/>
        <rFont val="Yu Gothic"/>
        <family val="2"/>
      </rPr>
      <t xml:space="preserve">（返信）</t>
    </r>
  </si>
  <si>
    <r>
      <rPr>
        <sz val="10"/>
        <color rgb="FF000000"/>
        <rFont val="Yu Gothic"/>
        <family val="0"/>
        <charset val="1"/>
      </rPr>
      <t xml:space="preserve">Day2</t>
    </r>
    <r>
      <rPr>
        <sz val="10"/>
        <color rgb="FF000000"/>
        <rFont val="Yu Gothic"/>
        <family val="2"/>
      </rPr>
      <t xml:space="preserve">（追記）</t>
    </r>
  </si>
  <si>
    <r>
      <rPr>
        <sz val="10"/>
        <color rgb="FF000000"/>
        <rFont val="Yu Gothic"/>
        <family val="0"/>
        <charset val="1"/>
      </rPr>
      <t xml:space="preserve">Day3</t>
    </r>
    <r>
      <rPr>
        <sz val="10"/>
        <color rgb="FF000000"/>
        <rFont val="Yu Gothic"/>
        <family val="2"/>
      </rPr>
      <t xml:space="preserve">（判定）</t>
    </r>
  </si>
  <si>
    <r>
      <rPr>
        <sz val="10"/>
        <color rgb="FF000000"/>
        <rFont val="Yu Gothic"/>
        <family val="0"/>
        <charset val="1"/>
      </rPr>
      <t xml:space="preserve">Day4</t>
    </r>
    <r>
      <rPr>
        <sz val="10"/>
        <color rgb="FF000000"/>
        <rFont val="Yu Gothic"/>
        <family val="2"/>
      </rPr>
      <t xml:space="preserve">（リンク）</t>
    </r>
  </si>
  <si>
    <r>
      <rPr>
        <sz val="10"/>
        <color rgb="FF000000"/>
        <rFont val="Yu Gothic"/>
        <family val="0"/>
        <charset val="1"/>
      </rPr>
      <t xml:space="preserve">Day5</t>
    </r>
    <r>
      <rPr>
        <sz val="10"/>
        <color rgb="FF000000"/>
        <rFont val="Yu Gothic"/>
        <family val="2"/>
      </rPr>
      <t xml:space="preserve">（お返事）</t>
    </r>
  </si>
  <si>
    <r>
      <rPr>
        <sz val="10"/>
        <color rgb="FF000000"/>
        <rFont val="Yu Gothic"/>
        <family val="0"/>
        <charset val="1"/>
      </rPr>
      <t xml:space="preserve">Day6</t>
    </r>
    <r>
      <rPr>
        <sz val="10"/>
        <color rgb="FF000000"/>
        <rFont val="Yu Gothic"/>
        <family val="2"/>
      </rPr>
      <t xml:space="preserve">（別切り口）</t>
    </r>
  </si>
  <si>
    <r>
      <rPr>
        <sz val="10"/>
        <color rgb="FF000000"/>
        <rFont val="Yu Gothic"/>
        <family val="0"/>
        <charset val="1"/>
      </rPr>
      <t xml:space="preserve">Day7</t>
    </r>
    <r>
      <rPr>
        <sz val="10"/>
        <color rgb="FF000000"/>
        <rFont val="Yu Gothic"/>
        <family val="2"/>
      </rPr>
      <t xml:space="preserve">（記録）</t>
    </r>
  </si>
  <si>
    <t xml:space="preserve">■ 終わったら</t>
  </si>
  <si>
    <t xml:space="preserve">・「育成ボード」で該当する日の欄に ✓ をつけると、ここも「済」になります</t>
  </si>
  <si>
    <r>
      <rPr>
        <sz val="10"/>
        <color rgb="FF000000"/>
        <rFont val="Yu Gothic"/>
        <family val="2"/>
      </rPr>
      <t xml:space="preserve">・育成作業は全部で</t>
    </r>
    <r>
      <rPr>
        <sz val="10"/>
        <color rgb="FF000000"/>
        <rFont val="Yu Gothic"/>
        <family val="0"/>
        <charset val="1"/>
      </rPr>
      <t xml:space="preserve">2</t>
    </r>
    <r>
      <rPr>
        <sz val="10"/>
        <color rgb="FF000000"/>
        <rFont val="Yu Gothic"/>
        <family val="2"/>
      </rPr>
      <t xml:space="preserve">〜</t>
    </r>
    <r>
      <rPr>
        <sz val="10"/>
        <color rgb="FF000000"/>
        <rFont val="Yu Gothic"/>
        <family val="0"/>
        <charset val="1"/>
      </rPr>
      <t xml:space="preserve">3</t>
    </r>
    <r>
      <rPr>
        <sz val="10"/>
        <color rgb="FF000000"/>
        <rFont val="Yu Gothic"/>
        <family val="2"/>
      </rPr>
      <t xml:space="preserve">分。終わったら、今日の新しい</t>
    </r>
    <r>
      <rPr>
        <sz val="10"/>
        <color rgb="FF000000"/>
        <rFont val="Yu Gothic"/>
        <family val="0"/>
        <charset val="1"/>
      </rPr>
      <t xml:space="preserve">1</t>
    </r>
    <r>
      <rPr>
        <sz val="10"/>
        <color rgb="FF000000"/>
        <rFont val="Yu Gothic"/>
        <family val="2"/>
      </rPr>
      <t xml:space="preserve">本へ（特典①②）</t>
    </r>
  </si>
  <si>
    <t xml:space="preserve">育成ボード</t>
  </si>
  <si>
    <t xml:space="preserve">黄色＝入力／オレンジ＝今日がその投稿の育成日／✓で完了</t>
  </si>
  <si>
    <t xml:space="preserve">今日の日付</t>
  </si>
  <si>
    <t xml:space="preserve">No</t>
  </si>
  <si>
    <t xml:space="preserve">型</t>
  </si>
  <si>
    <r>
      <rPr>
        <b val="true"/>
        <sz val="10"/>
        <color rgb="FFFFFFFF"/>
        <rFont val="Yu Gothic"/>
        <family val="0"/>
        <charset val="1"/>
      </rPr>
      <t xml:space="preserve">1</t>
    </r>
    <r>
      <rPr>
        <b val="true"/>
        <sz val="10"/>
        <color rgb="FFFFFFFF"/>
        <rFont val="Yu Gothic"/>
        <family val="2"/>
      </rPr>
      <t xml:space="preserve">行目</t>
    </r>
  </si>
  <si>
    <r>
      <rPr>
        <b val="true"/>
        <sz val="10"/>
        <color rgb="FFFFFFFF"/>
        <rFont val="Yu Gothic"/>
        <family val="0"/>
        <charset val="1"/>
      </rPr>
      <t xml:space="preserve">Day1
</t>
    </r>
    <r>
      <rPr>
        <b val="true"/>
        <sz val="10"/>
        <color rgb="FFFFFFFF"/>
        <rFont val="Yu Gothic"/>
        <family val="2"/>
      </rPr>
      <t xml:space="preserve">返信</t>
    </r>
  </si>
  <si>
    <r>
      <rPr>
        <b val="true"/>
        <sz val="10"/>
        <color rgb="FFFFFFFF"/>
        <rFont val="Yu Gothic"/>
        <family val="0"/>
        <charset val="1"/>
      </rPr>
      <t xml:space="preserve">Day2
</t>
    </r>
    <r>
      <rPr>
        <b val="true"/>
        <sz val="10"/>
        <color rgb="FFFFFFFF"/>
        <rFont val="Yu Gothic"/>
        <family val="2"/>
      </rPr>
      <t xml:space="preserve">追記</t>
    </r>
  </si>
  <si>
    <r>
      <rPr>
        <b val="true"/>
        <sz val="10"/>
        <color rgb="FFFFFFFF"/>
        <rFont val="Yu Gothic"/>
        <family val="0"/>
        <charset val="1"/>
      </rPr>
      <t xml:space="preserve">Day3
</t>
    </r>
    <r>
      <rPr>
        <b val="true"/>
        <sz val="10"/>
        <color rgb="FFFFFFFF"/>
        <rFont val="Yu Gothic"/>
        <family val="2"/>
      </rPr>
      <t xml:space="preserve">判定</t>
    </r>
  </si>
  <si>
    <r>
      <rPr>
        <b val="true"/>
        <sz val="10"/>
        <color rgb="FFFFFFFF"/>
        <rFont val="Yu Gothic"/>
        <family val="0"/>
        <charset val="1"/>
      </rPr>
      <t xml:space="preserve">Day3
</t>
    </r>
    <r>
      <rPr>
        <b val="true"/>
        <sz val="10"/>
        <color rgb="FFFFFFFF"/>
        <rFont val="Yu Gothic"/>
        <family val="2"/>
      </rPr>
      <t xml:space="preserve">アタリ</t>
    </r>
    <r>
      <rPr>
        <b val="true"/>
        <sz val="10"/>
        <color rgb="FFFFFFFF"/>
        <rFont val="Yu Gothic"/>
        <family val="0"/>
        <charset val="1"/>
      </rPr>
      <t xml:space="preserve">?</t>
    </r>
  </si>
  <si>
    <r>
      <rPr>
        <b val="true"/>
        <sz val="10"/>
        <color rgb="FFFFFFFF"/>
        <rFont val="Yu Gothic"/>
        <family val="0"/>
        <charset val="1"/>
      </rPr>
      <t xml:space="preserve">Day4
</t>
    </r>
    <r>
      <rPr>
        <b val="true"/>
        <sz val="10"/>
        <color rgb="FFFFFFFF"/>
        <rFont val="Yu Gothic"/>
        <family val="2"/>
      </rPr>
      <t xml:space="preserve">リンク</t>
    </r>
  </si>
  <si>
    <r>
      <rPr>
        <b val="true"/>
        <sz val="10"/>
        <color rgb="FFFFFFFF"/>
        <rFont val="Yu Gothic"/>
        <family val="0"/>
        <charset val="1"/>
      </rPr>
      <t xml:space="preserve">Day5
</t>
    </r>
    <r>
      <rPr>
        <b val="true"/>
        <sz val="10"/>
        <color rgb="FFFFFFFF"/>
        <rFont val="Yu Gothic"/>
        <family val="2"/>
      </rPr>
      <t xml:space="preserve">お返事</t>
    </r>
  </si>
  <si>
    <r>
      <rPr>
        <b val="true"/>
        <sz val="10"/>
        <color rgb="FFFFFFFF"/>
        <rFont val="Yu Gothic"/>
        <family val="0"/>
        <charset val="1"/>
      </rPr>
      <t xml:space="preserve">Day6
</t>
    </r>
    <r>
      <rPr>
        <b val="true"/>
        <sz val="10"/>
        <color rgb="FFFFFFFF"/>
        <rFont val="Yu Gothic"/>
        <family val="2"/>
      </rPr>
      <t xml:space="preserve">別切り口</t>
    </r>
  </si>
  <si>
    <r>
      <rPr>
        <b val="true"/>
        <sz val="10"/>
        <color rgb="FFFFFFFF"/>
        <rFont val="Yu Gothic"/>
        <family val="0"/>
        <charset val="1"/>
      </rPr>
      <t xml:space="preserve">Day7
</t>
    </r>
    <r>
      <rPr>
        <b val="true"/>
        <sz val="10"/>
        <color rgb="FFFFFFFF"/>
        <rFont val="Yu Gothic"/>
        <family val="2"/>
      </rPr>
      <t xml:space="preserve">記録</t>
    </r>
  </si>
  <si>
    <t xml:space="preserve">進み具合</t>
  </si>
  <si>
    <t xml:space="preserve">例</t>
  </si>
  <si>
    <t xml:space="preserve">場面→工夫型</t>
  </si>
  <si>
    <r>
      <rPr>
        <i val="true"/>
        <sz val="10"/>
        <color rgb="FF595959"/>
        <rFont val="Yu Gothic"/>
        <family val="2"/>
      </rPr>
      <t xml:space="preserve">月曜</t>
    </r>
    <r>
      <rPr>
        <i val="true"/>
        <sz val="10"/>
        <color rgb="FF595959"/>
        <rFont val="Yu Gothic"/>
        <family val="0"/>
        <charset val="1"/>
      </rPr>
      <t xml:space="preserve">19</t>
    </r>
    <r>
      <rPr>
        <i val="true"/>
        <sz val="10"/>
        <color rgb="FF595959"/>
        <rFont val="Yu Gothic"/>
        <family val="2"/>
      </rPr>
      <t xml:space="preserve">時、冷蔵庫の前で立ち尽くすの、私だけ？</t>
    </r>
  </si>
  <si>
    <t xml:space="preserve">✓</t>
  </si>
  <si>
    <t xml:space="preserve">○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</si>
</sst>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/mm/dd"/>
    <numFmt numFmtId="166" formatCode="0%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A5F"/>
      <name val="Yu Gothic"/>
      <family val="2"/>
    </font>
    <font>
      <b val="true"/>
      <sz val="16"/>
      <color rgb="FF1F3A5F"/>
      <name val="Yu Gothic"/>
      <family val="0"/>
      <charset val="1"/>
    </font>
    <font>
      <sz val="10"/>
      <color rgb="FF595959"/>
      <name val="Yu Gothic"/>
      <family val="2"/>
    </font>
    <font>
      <sz val="10"/>
      <color rgb="FF595959"/>
      <name val="Yu Gothic"/>
      <family val="0"/>
      <charset val="1"/>
    </font>
    <font>
      <b val="true"/>
      <sz val="12"/>
      <color rgb="FF1F3A5F"/>
      <name val="Yu Gothic"/>
      <family val="2"/>
    </font>
    <font>
      <sz val="10"/>
      <color rgb="FF000000"/>
      <name val="Yu Gothic"/>
      <family val="2"/>
    </font>
    <font>
      <sz val="10"/>
      <color rgb="FF000000"/>
      <name val="Yu Gothic"/>
      <family val="0"/>
      <charset val="1"/>
    </font>
    <font>
      <b val="true"/>
      <sz val="12"/>
      <color rgb="FF1F3A5F"/>
      <name val="Yu Gothic"/>
      <family val="0"/>
      <charset val="1"/>
    </font>
    <font>
      <b val="true"/>
      <sz val="10"/>
      <color rgb="FFFFFFFF"/>
      <name val="Yu Gothic"/>
      <family val="2"/>
    </font>
    <font>
      <b val="true"/>
      <sz val="10"/>
      <color rgb="FF000000"/>
      <name val="Yu Gothic"/>
      <family val="2"/>
    </font>
    <font>
      <b val="true"/>
      <sz val="11"/>
      <color rgb="FF1F3A5F"/>
      <name val="Yu Gothic"/>
      <family val="0"/>
      <charset val="1"/>
    </font>
    <font>
      <b val="true"/>
      <sz val="10"/>
      <color rgb="FFFFFFFF"/>
      <name val="Yu Gothic"/>
      <family val="0"/>
      <charset val="1"/>
    </font>
    <font>
      <b val="true"/>
      <sz val="10"/>
      <color rgb="FF1F3A5F"/>
      <name val="Yu Gothic"/>
      <family val="0"/>
      <charset val="1"/>
    </font>
    <font>
      <i val="true"/>
      <sz val="10"/>
      <color rgb="FF595959"/>
      <name val="Yu Gothic"/>
      <family val="2"/>
    </font>
    <font>
      <i val="true"/>
      <sz val="10"/>
      <color rgb="FF595959"/>
      <name val="Yu Gothic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FFF4C2"/>
        <bgColor rgb="FFFFFF99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FFD8A8"/>
        </patternFill>
      </fill>
    </dxf>
    <dxf>
      <fill>
        <patternFill>
          <bgColor rgb="FFD9EAD3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4C2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F99CC"/>
      <rgbColor rgb="FFCC99FF"/>
      <rgbColor rgb="FFFFD8A8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3" min="2" style="0" width="11"/>
    <col collapsed="false" customWidth="true" hidden="false" outlineLevel="0" max="4" min="4" style="0" width="70"/>
    <col collapsed="false" customWidth="true" hidden="false" outlineLevel="0" max="5" min="5" style="0" width="22"/>
  </cols>
  <sheetData>
    <row r="1" customFormat="false" ht="20.8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</row>
    <row r="6" customFormat="false" ht="15" hidden="false" customHeight="false" outlineLevel="0" collapsed="false">
      <c r="A6" s="4" t="s">
        <v>4</v>
      </c>
    </row>
    <row r="7" customFormat="false" ht="15" hidden="false" customHeight="false" outlineLevel="0" collapsed="false">
      <c r="A7" s="4" t="s">
        <v>5</v>
      </c>
    </row>
    <row r="8" customFormat="false" ht="15" hidden="false" customHeight="false" outlineLevel="0" collapsed="false">
      <c r="A8" s="4"/>
    </row>
    <row r="9" customFormat="false" ht="15" hidden="false" customHeight="false" outlineLevel="0" collapsed="false">
      <c r="A9" s="3" t="s">
        <v>6</v>
      </c>
    </row>
    <row r="10" customFormat="false" ht="15" hidden="false" customHeight="false" outlineLevel="0" collapsed="false">
      <c r="A10" s="4" t="s">
        <v>7</v>
      </c>
    </row>
    <row r="11" customFormat="false" ht="15" hidden="false" customHeight="false" outlineLevel="0" collapsed="false">
      <c r="A11" s="4" t="s">
        <v>8</v>
      </c>
    </row>
    <row r="12" customFormat="false" ht="15" hidden="false" customHeight="false" outlineLevel="0" collapsed="false">
      <c r="A12" s="4" t="s">
        <v>9</v>
      </c>
    </row>
    <row r="13" customFormat="false" ht="15" hidden="false" customHeight="false" outlineLevel="0" collapsed="false">
      <c r="A13" s="4"/>
    </row>
    <row r="14" customFormat="false" ht="16.4" hidden="false" customHeight="false" outlineLevel="0" collapsed="false">
      <c r="A14" s="3" t="s">
        <v>10</v>
      </c>
    </row>
    <row r="15" customFormat="false" ht="15" hidden="false" customHeight="false" outlineLevel="0" collapsed="false">
      <c r="A15" s="5" t="s">
        <v>11</v>
      </c>
    </row>
    <row r="16" customFormat="false" ht="15" hidden="false" customHeight="false" outlineLevel="0" collapsed="false">
      <c r="A16" s="5" t="s">
        <v>12</v>
      </c>
    </row>
    <row r="17" customFormat="false" ht="15" hidden="false" customHeight="false" outlineLevel="0" collapsed="false">
      <c r="A17" s="5" t="s">
        <v>13</v>
      </c>
    </row>
    <row r="18" customFormat="false" ht="15" hidden="false" customHeight="false" outlineLevel="0" collapsed="false">
      <c r="A18" s="5" t="s">
        <v>14</v>
      </c>
    </row>
    <row r="19" customFormat="false" ht="15" hidden="false" customHeight="false" outlineLevel="0" collapsed="false">
      <c r="A19" s="4"/>
    </row>
    <row r="20" customFormat="false" ht="16.4" hidden="false" customHeight="false" outlineLevel="0" collapsed="false">
      <c r="A20" s="6" t="s">
        <v>15</v>
      </c>
    </row>
    <row r="21" customFormat="false" ht="15" hidden="false" customHeight="false" outlineLevel="0" collapsed="false">
      <c r="A21" s="7" t="s">
        <v>16</v>
      </c>
      <c r="B21" s="7" t="s">
        <v>17</v>
      </c>
      <c r="C21" s="7" t="s">
        <v>18</v>
      </c>
      <c r="D21" s="7" t="s">
        <v>19</v>
      </c>
      <c r="E21" s="7" t="s">
        <v>20</v>
      </c>
    </row>
    <row r="22" customFormat="false" ht="26.85" hidden="false" customHeight="false" outlineLevel="0" collapsed="false">
      <c r="A22" s="8" t="s">
        <v>21</v>
      </c>
      <c r="B22" s="9" t="s">
        <v>22</v>
      </c>
      <c r="C22" s="9" t="s">
        <v>23</v>
      </c>
      <c r="D22" s="10" t="s">
        <v>24</v>
      </c>
      <c r="E22" s="10" t="s">
        <v>25</v>
      </c>
    </row>
    <row r="23" customFormat="false" ht="15" hidden="false" customHeight="false" outlineLevel="0" collapsed="false">
      <c r="A23" s="8" t="s">
        <v>26</v>
      </c>
      <c r="B23" s="9" t="s">
        <v>27</v>
      </c>
      <c r="C23" s="9" t="s">
        <v>28</v>
      </c>
      <c r="D23" s="10" t="s">
        <v>29</v>
      </c>
      <c r="E23" s="10" t="s">
        <v>30</v>
      </c>
    </row>
    <row r="24" customFormat="false" ht="15" hidden="false" customHeight="false" outlineLevel="0" collapsed="false">
      <c r="A24" s="8" t="s">
        <v>31</v>
      </c>
      <c r="B24" s="8" t="s">
        <v>32</v>
      </c>
      <c r="C24" s="9" t="s">
        <v>33</v>
      </c>
      <c r="D24" s="10" t="s">
        <v>34</v>
      </c>
      <c r="E24" s="10" t="s">
        <v>35</v>
      </c>
    </row>
    <row r="25" customFormat="false" ht="26.85" hidden="false" customHeight="false" outlineLevel="0" collapsed="false">
      <c r="A25" s="8" t="s">
        <v>36</v>
      </c>
      <c r="B25" s="8" t="s">
        <v>37</v>
      </c>
      <c r="C25" s="9" t="s">
        <v>38</v>
      </c>
      <c r="D25" s="10" t="s">
        <v>39</v>
      </c>
      <c r="E25" s="10" t="s">
        <v>40</v>
      </c>
    </row>
    <row r="26" customFormat="false" ht="15" hidden="false" customHeight="false" outlineLevel="0" collapsed="false">
      <c r="A26" s="8" t="s">
        <v>41</v>
      </c>
      <c r="B26" s="8" t="s">
        <v>42</v>
      </c>
      <c r="C26" s="9" t="s">
        <v>43</v>
      </c>
      <c r="D26" s="10" t="s">
        <v>44</v>
      </c>
      <c r="E26" s="10" t="s">
        <v>45</v>
      </c>
    </row>
    <row r="27" customFormat="false" ht="15" hidden="false" customHeight="false" outlineLevel="0" collapsed="false">
      <c r="A27" s="8" t="s">
        <v>46</v>
      </c>
      <c r="B27" s="8" t="s">
        <v>47</v>
      </c>
      <c r="C27" s="9" t="s">
        <v>48</v>
      </c>
      <c r="D27" s="10" t="s">
        <v>49</v>
      </c>
      <c r="E27" s="10" t="s">
        <v>50</v>
      </c>
    </row>
    <row r="28" customFormat="false" ht="15" hidden="false" customHeight="false" outlineLevel="0" collapsed="false">
      <c r="A28" s="8" t="s">
        <v>51</v>
      </c>
      <c r="B28" s="8" t="s">
        <v>52</v>
      </c>
      <c r="C28" s="9" t="s">
        <v>53</v>
      </c>
      <c r="D28" s="10" t="s">
        <v>54</v>
      </c>
      <c r="E28" s="10" t="s">
        <v>55</v>
      </c>
    </row>
    <row r="30" customFormat="false" ht="15" hidden="false" customHeight="false" outlineLevel="0" collapsed="false">
      <c r="A30" s="3" t="s">
        <v>56</v>
      </c>
    </row>
    <row r="31" customFormat="false" ht="15" hidden="false" customHeight="false" outlineLevel="0" collapsed="false">
      <c r="A31" s="4" t="s">
        <v>57</v>
      </c>
    </row>
    <row r="32" customFormat="false" ht="15" hidden="false" customHeight="false" outlineLevel="0" collapsed="false">
      <c r="A32" s="4" t="s">
        <v>58</v>
      </c>
    </row>
    <row r="33" customFormat="false" ht="15" hidden="false" customHeight="false" outlineLevel="0" collapsed="false">
      <c r="A33" s="4" t="s">
        <v>59</v>
      </c>
    </row>
    <row r="34" customFormat="false" ht="15" hidden="false" customHeight="false" outlineLevel="0" collapsed="false">
      <c r="A34" s="4"/>
    </row>
    <row r="35" customFormat="false" ht="16.4" hidden="false" customHeight="false" outlineLevel="0" collapsed="false">
      <c r="A35" s="3" t="s">
        <v>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3"/>
    <col collapsed="false" customWidth="true" hidden="false" outlineLevel="0" max="3" min="3" style="0" width="40"/>
    <col collapsed="false" customWidth="true" hidden="false" outlineLevel="0" max="4" min="4" style="0" width="62"/>
    <col collapsed="false" customWidth="true" hidden="false" outlineLevel="0" max="5" min="5" style="0" width="10"/>
  </cols>
  <sheetData>
    <row r="1" customFormat="false" ht="19.7" hidden="false" customHeight="false" outlineLevel="0" collapsed="false">
      <c r="A1" s="1" t="s">
        <v>61</v>
      </c>
    </row>
    <row r="2" customFormat="false" ht="15" hidden="false" customHeight="false" outlineLevel="0" collapsed="false">
      <c r="A2" s="2" t="s">
        <v>62</v>
      </c>
    </row>
    <row r="3" customFormat="false" ht="15" hidden="false" customHeight="false" outlineLevel="0" collapsed="false">
      <c r="A3" s="11" t="s">
        <v>63</v>
      </c>
      <c r="C3" s="12" t="n">
        <f aca="true">TODAY()</f>
        <v>46299</v>
      </c>
    </row>
    <row r="5" customFormat="false" ht="15" hidden="false" customHeight="false" outlineLevel="0" collapsed="false">
      <c r="A5" s="7" t="s">
        <v>64</v>
      </c>
      <c r="B5" s="7" t="s">
        <v>65</v>
      </c>
      <c r="C5" s="7" t="s">
        <v>66</v>
      </c>
      <c r="D5" s="7" t="s">
        <v>67</v>
      </c>
      <c r="E5" s="7" t="s">
        <v>68</v>
      </c>
    </row>
    <row r="6" customFormat="false" ht="15" hidden="false" customHeight="false" outlineLevel="0" collapsed="false">
      <c r="A6" s="8" t="s">
        <v>69</v>
      </c>
      <c r="B6" s="13" t="n">
        <f aca="false">$C$3-0</f>
        <v>46299</v>
      </c>
      <c r="C6" s="10" t="str">
        <f aca="false">IFERROR(INDEX(育成ボード!$D$6:$D$156,MATCH(B6,育成ボード!$B$6:$B$156,0)),"（この日の投稿なし）")</f>
        <v>（この日の投稿なし）</v>
      </c>
      <c r="D6" s="10" t="str">
        <f aca="false">IFERROR(IF(MATCH(B6,育成ボード!$B$6:$B$156,0)&gt;0,"投稿後1時間以内についたコメントに、間をあけながら1件ずつ返信する（同じ文面のコピペ返信はしない）"),"-")</f>
        <v>-</v>
      </c>
      <c r="E6" s="8" t="str">
        <f aca="false">IFERROR(IF(INDEX(育成ボード!$E$6:$E$156,MATCH(B6,育成ボード!$B$6:$B$156,0))="","未完了","済"),"-")</f>
        <v>-</v>
      </c>
    </row>
    <row r="7" customFormat="false" ht="15" hidden="false" customHeight="false" outlineLevel="0" collapsed="false">
      <c r="A7" s="8" t="s">
        <v>70</v>
      </c>
      <c r="B7" s="13" t="n">
        <f aca="false">$C$3-1</f>
        <v>46298</v>
      </c>
      <c r="C7" s="10" t="str">
        <f aca="false">IFERROR(INDEX(育成ボード!$D$6:$D$156,MATCH(B7,育成ボード!$B$6:$B$156,0)),"（この日の投稿なし）")</f>
        <v>（この日の投稿なし）</v>
      </c>
      <c r="D7" s="10" t="str">
        <f aca="false">IFERROR(IF(MATCH(B7,育成ボード!$B$6:$B$156,0)&gt;0,"自分のコメント欄に「追記」を1つ。失敗談・小ワザ・その後のどれか。リンクは入れない"),"-")</f>
        <v>-</v>
      </c>
      <c r="E7" s="8" t="str">
        <f aca="false">IFERROR(IF(INDEX(育成ボード!$F$6:$F$156,MATCH(B7,育成ボード!$B$6:$B$156,0))="","未完了","済"),"-")</f>
        <v>-</v>
      </c>
    </row>
    <row r="8" customFormat="false" ht="15" hidden="false" customHeight="false" outlineLevel="0" collapsed="false">
      <c r="A8" s="8" t="s">
        <v>71</v>
      </c>
      <c r="B8" s="13" t="n">
        <f aca="false">$C$3-2</f>
        <v>46297</v>
      </c>
      <c r="C8" s="10" t="str">
        <f aca="false">IFERROR(INDEX(育成ボード!$D$6:$D$156,MATCH(B8,育成ボード!$B$6:$B$156,0)),"（この日の投稿なし）")</f>
        <v>（この日の投稿なし）</v>
      </c>
      <c r="D8" s="10" t="str">
        <f aca="false">IFERROR(IF(MATCH(B8,育成ボード!$B$6:$B$156,0)&gt;0,"保存数・コメント数を見て「アタリ（○）」か判定。基準は釣果ノートの設定と同じ"),"-")</f>
        <v>-</v>
      </c>
      <c r="E8" s="8" t="str">
        <f aca="false">IFERROR(IF(INDEX(育成ボード!$G$6:$G$156,MATCH(B8,育成ボード!$B$6:$B$156,0))="","未完了","済"),"-")</f>
        <v>-</v>
      </c>
    </row>
    <row r="9" customFormat="false" ht="15" hidden="false" customHeight="false" outlineLevel="0" collapsed="false">
      <c r="A9" s="8" t="s">
        <v>72</v>
      </c>
      <c r="B9" s="13" t="n">
        <f aca="false">$C$3-3</f>
        <v>46296</v>
      </c>
      <c r="C9" s="10" t="str">
        <f aca="false">IFERROR(INDEX(育成ボード!$D$6:$D$156,MATCH(B9,育成ボード!$B$6:$B$156,0)),"（この日の投稿なし）")</f>
        <v>（この日の投稿なし）</v>
      </c>
      <c r="D9" s="10" t="str">
        <f aca="false">IFERROR(IF(INDEX(育成ボード!$H$6:$H$156,MATCH(B9,育成ボード!$B$6:$B$156,0))="○","アタリ！コメント欄に一言＋リンク＋#PR（応用F）",IF(INDEX(育成ボード!$H$6:$H$156,MATCH(B9,育成ボード!$B$6:$B$156,0))="×","アタリではないので、今回はリンクを置かない（「-」を選ぶ）","Day3の判定がまだです。先に判定してください")),"-")</f>
        <v>-</v>
      </c>
      <c r="E9" s="8" t="str">
        <f aca="false">IFERROR(IF(INDEX(育成ボード!$I$6:$I$156,MATCH(B9,育成ボード!$B$6:$B$156,0))="","未完了","済"),"-")</f>
        <v>-</v>
      </c>
    </row>
    <row r="10" customFormat="false" ht="15" hidden="false" customHeight="false" outlineLevel="0" collapsed="false">
      <c r="A10" s="8" t="s">
        <v>73</v>
      </c>
      <c r="B10" s="13" t="n">
        <f aca="false">$C$3-4</f>
        <v>46295</v>
      </c>
      <c r="C10" s="10" t="str">
        <f aca="false">IFERROR(INDEX(育成ボード!$D$6:$D$156,MATCH(B10,育成ボード!$B$6:$B$156,0)),"（この日の投稿なし）")</f>
        <v>（この日の投稿なし）</v>
      </c>
      <c r="D10" s="10" t="str">
        <f aca="false">IFERROR(IF(MATCH(B10,育成ボード!$B$6:$B$156,0)&gt;0,"集まったコメントをもとに「お返事投稿」を新しい1本として出す（コメントが少なければスキップ可）"),"-")</f>
        <v>-</v>
      </c>
      <c r="E10" s="8" t="str">
        <f aca="false">IFERROR(IF(INDEX(育成ボード!$J$6:$J$156,MATCH(B10,育成ボード!$B$6:$B$156,0))="","未完了","済"),"-")</f>
        <v>-</v>
      </c>
    </row>
    <row r="11" customFormat="false" ht="15" hidden="false" customHeight="false" outlineLevel="0" collapsed="false">
      <c r="A11" s="8" t="s">
        <v>74</v>
      </c>
      <c r="B11" s="13" t="n">
        <f aca="false">$C$3-5</f>
        <v>46294</v>
      </c>
      <c r="C11" s="10" t="str">
        <f aca="false">IFERROR(INDEX(育成ボード!$D$6:$D$156,MATCH(B11,育成ボード!$B$6:$B$156,0)),"（この日の投稿なし）")</f>
        <v>（この日の投稿なし）</v>
      </c>
      <c r="D11" s="10" t="str">
        <f aca="false">IFERROR(IF(MATCH(B11,育成ボード!$B$6:$B$156,0)&gt;0,"同じテーマを別の型で書き直す案を、週末の壁打ちに回すメモを残す"),"-")</f>
        <v>-</v>
      </c>
      <c r="E11" s="8" t="str">
        <f aca="false">IFERROR(IF(INDEX(育成ボード!$K$6:$K$156,MATCH(B11,育成ボード!$B$6:$B$156,0))="","未完了","済"),"-")</f>
        <v>-</v>
      </c>
    </row>
    <row r="12" customFormat="false" ht="15" hidden="false" customHeight="false" outlineLevel="0" collapsed="false">
      <c r="A12" s="8" t="s">
        <v>75</v>
      </c>
      <c r="B12" s="13" t="n">
        <f aca="false">$C$3-6</f>
        <v>46293</v>
      </c>
      <c r="C12" s="10" t="str">
        <f aca="false">IFERROR(INDEX(育成ボード!$D$6:$D$156,MATCH(B12,育成ボード!$B$6:$B$156,0)),"（この日の投稿なし）")</f>
        <v>（この日の投稿なし）</v>
      </c>
      <c r="D12" s="10" t="str">
        <f aca="false">IFERROR(IF(MATCH(B12,育成ボード!$B$6:$B$156,0)&gt;0,"釣果ノートに数字を記録して、育成終了"),"-")</f>
        <v>-</v>
      </c>
      <c r="E12" s="8" t="str">
        <f aca="false">IFERROR(IF(INDEX(育成ボード!$L$6:$L$156,MATCH(B12,育成ボード!$B$6:$B$156,0))="","未完了","済"),"-")</f>
        <v>-</v>
      </c>
    </row>
    <row r="14" customFormat="false" ht="15" hidden="false" customHeight="false" outlineLevel="0" collapsed="false">
      <c r="A14" s="3" t="s">
        <v>76</v>
      </c>
    </row>
    <row r="15" customFormat="false" ht="15" hidden="false" customHeight="false" outlineLevel="0" collapsed="false">
      <c r="A15" s="4" t="s">
        <v>77</v>
      </c>
    </row>
    <row r="16" customFormat="false" ht="15" hidden="false" customHeight="false" outlineLevel="0" collapsed="false">
      <c r="A16" s="4" t="s">
        <v>78</v>
      </c>
    </row>
  </sheetData>
  <conditionalFormatting sqref="E6:E12">
    <cfRule type="expression" priority="2" aboveAverage="0" equalAverage="0" bottom="0" percent="0" rank="0" text="" dxfId="0">
      <formula>$E6="未完了"</formula>
    </cfRule>
    <cfRule type="expression" priority="3" aboveAverage="0" equalAverage="0" bottom="0" percent="0" rank="0" text="" dxfId="1">
      <formula>$E6="済"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5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1"/>
    <col collapsed="false" customWidth="true" hidden="false" outlineLevel="0" max="3" min="3" style="0" width="14"/>
    <col collapsed="false" customWidth="true" hidden="false" outlineLevel="0" max="4" min="4" style="0" width="40"/>
    <col collapsed="false" customWidth="true" hidden="false" outlineLevel="0" max="7" min="5" style="0" width="7"/>
    <col collapsed="false" customWidth="true" hidden="false" outlineLevel="0" max="8" min="8" style="0" width="8"/>
    <col collapsed="false" customWidth="true" hidden="false" outlineLevel="0" max="10" min="9" style="0" width="7"/>
    <col collapsed="false" customWidth="true" hidden="false" outlineLevel="0" max="11" min="11" style="0" width="9"/>
    <col collapsed="false" customWidth="true" hidden="false" outlineLevel="0" max="12" min="12" style="0" width="7"/>
    <col collapsed="false" customWidth="true" hidden="false" outlineLevel="0" max="13" min="13" style="0" width="9"/>
    <col collapsed="false" customWidth="true" hidden="false" outlineLevel="0" max="14" min="14" style="0" width="20"/>
  </cols>
  <sheetData>
    <row r="1" customFormat="false" ht="19.7" hidden="false" customHeight="false" outlineLevel="0" collapsed="false">
      <c r="A1" s="1" t="s">
        <v>79</v>
      </c>
    </row>
    <row r="2" customFormat="false" ht="15" hidden="false" customHeight="false" outlineLevel="0" collapsed="false">
      <c r="A2" s="2" t="s">
        <v>80</v>
      </c>
    </row>
    <row r="3" customFormat="false" ht="15" hidden="false" customHeight="false" outlineLevel="0" collapsed="false">
      <c r="A3" s="11" t="s">
        <v>81</v>
      </c>
      <c r="C3" s="14" t="n">
        <f aca="true">TODAY()</f>
        <v>46299</v>
      </c>
    </row>
    <row r="4" customFormat="false" ht="31.5" hidden="false" customHeight="true" outlineLevel="0" collapsed="false">
      <c r="A4" s="15" t="s">
        <v>82</v>
      </c>
      <c r="B4" s="7" t="s">
        <v>22</v>
      </c>
      <c r="C4" s="7" t="s">
        <v>83</v>
      </c>
      <c r="D4" s="15" t="s">
        <v>84</v>
      </c>
      <c r="E4" s="15" t="s">
        <v>85</v>
      </c>
      <c r="F4" s="15" t="s">
        <v>86</v>
      </c>
      <c r="G4" s="15" t="s">
        <v>87</v>
      </c>
      <c r="H4" s="15" t="s">
        <v>88</v>
      </c>
      <c r="I4" s="15" t="s">
        <v>89</v>
      </c>
      <c r="J4" s="15" t="s">
        <v>90</v>
      </c>
      <c r="K4" s="15" t="s">
        <v>91</v>
      </c>
      <c r="L4" s="15" t="s">
        <v>92</v>
      </c>
      <c r="M4" s="7" t="s">
        <v>93</v>
      </c>
      <c r="N4" s="7" t="s">
        <v>68</v>
      </c>
    </row>
    <row r="5" customFormat="false" ht="15" hidden="false" customHeight="false" outlineLevel="0" collapsed="false">
      <c r="A5" s="16" t="s">
        <v>94</v>
      </c>
      <c r="B5" s="17" t="n">
        <f aca="false">DATE(2026,10,5)</f>
        <v>46300</v>
      </c>
      <c r="C5" s="16" t="s">
        <v>95</v>
      </c>
      <c r="D5" s="18" t="s">
        <v>96</v>
      </c>
      <c r="E5" s="19" t="s">
        <v>97</v>
      </c>
      <c r="F5" s="19" t="s">
        <v>97</v>
      </c>
      <c r="G5" s="19" t="s">
        <v>97</v>
      </c>
      <c r="H5" s="19" t="s">
        <v>98</v>
      </c>
      <c r="I5" s="19" t="s">
        <v>97</v>
      </c>
      <c r="J5" s="19" t="s">
        <v>97</v>
      </c>
      <c r="K5" s="19" t="s">
        <v>97</v>
      </c>
      <c r="L5" s="19" t="s">
        <v>97</v>
      </c>
      <c r="M5" s="20" t="n">
        <f aca="false">IF(B5="","",(COUNTIF(E5:G5,"✓")+COUNTIF(I5:L5,"✓")+COUNTIF(I5,"-"))/7)</f>
        <v>1</v>
      </c>
      <c r="N5" s="21" t="str">
        <f aca="false">IF(B5="","",IF(M5&gt;=1,"育成完了",IF($C$3-B5&gt;6,"期限切れ（記録だけでもOK）",IF($C$3&lt;B5,"予約中","Day"&amp;($C$3-B5+1)&amp;" 育成中"))))</f>
        <v>育成完了</v>
      </c>
    </row>
    <row r="6" customFormat="false" ht="15" hidden="false" customHeight="false" outlineLevel="0" collapsed="false">
      <c r="A6" s="9" t="n">
        <v>1</v>
      </c>
      <c r="B6" s="22"/>
      <c r="C6" s="23"/>
      <c r="D6" s="24"/>
      <c r="E6" s="23"/>
      <c r="F6" s="23"/>
      <c r="G6" s="23"/>
      <c r="H6" s="23"/>
      <c r="I6" s="23"/>
      <c r="J6" s="23"/>
      <c r="K6" s="23"/>
      <c r="L6" s="23"/>
      <c r="M6" s="25" t="str">
        <f aca="false">IF(B6="","",(COUNTIF(E6:G6,"✓")+COUNTIF(I6:L6,"✓")+COUNTIF(I6,"-"))/7)</f>
        <v/>
      </c>
      <c r="N6" s="8" t="str">
        <f aca="false">IF(B6="","",IF(M6&gt;=1,"育成完了",IF($C$3-B6&gt;6,"期限切れ（記録だけでもOK）",IF($C$3&lt;B6,"予約中","Day"&amp;($C$3-B6+1)&amp;" 育成中"))))</f>
        <v/>
      </c>
    </row>
    <row r="7" customFormat="false" ht="15" hidden="false" customHeight="false" outlineLevel="0" collapsed="false">
      <c r="A7" s="9" t="n">
        <v>2</v>
      </c>
      <c r="B7" s="22"/>
      <c r="C7" s="23"/>
      <c r="D7" s="24"/>
      <c r="E7" s="23"/>
      <c r="F7" s="23"/>
      <c r="G7" s="23"/>
      <c r="H7" s="23"/>
      <c r="I7" s="23"/>
      <c r="J7" s="23"/>
      <c r="K7" s="23"/>
      <c r="L7" s="23"/>
      <c r="M7" s="25" t="str">
        <f aca="false">IF(B7="","",(COUNTIF(E7:G7,"✓")+COUNTIF(I7:L7,"✓")+COUNTIF(I7,"-"))/7)</f>
        <v/>
      </c>
      <c r="N7" s="8" t="str">
        <f aca="false">IF(B7="","",IF(M7&gt;=1,"育成完了",IF($C$3-B7&gt;6,"期限切れ（記録だけでもOK）",IF($C$3&lt;B7,"予約中","Day"&amp;($C$3-B7+1)&amp;" 育成中"))))</f>
        <v/>
      </c>
    </row>
    <row r="8" customFormat="false" ht="15" hidden="false" customHeight="false" outlineLevel="0" collapsed="false">
      <c r="A8" s="9" t="n">
        <v>3</v>
      </c>
      <c r="B8" s="22"/>
      <c r="C8" s="23"/>
      <c r="D8" s="24"/>
      <c r="E8" s="23"/>
      <c r="F8" s="23"/>
      <c r="G8" s="23"/>
      <c r="H8" s="23"/>
      <c r="I8" s="23"/>
      <c r="J8" s="23"/>
      <c r="K8" s="23"/>
      <c r="L8" s="23"/>
      <c r="M8" s="25" t="str">
        <f aca="false">IF(B8="","",(COUNTIF(E8:G8,"✓")+COUNTIF(I8:L8,"✓")+COUNTIF(I8,"-"))/7)</f>
        <v/>
      </c>
      <c r="N8" s="8" t="str">
        <f aca="false">IF(B8="","",IF(M8&gt;=1,"育成完了",IF($C$3-B8&gt;6,"期限切れ（記録だけでもOK）",IF($C$3&lt;B8,"予約中","Day"&amp;($C$3-B8+1)&amp;" 育成中"))))</f>
        <v/>
      </c>
    </row>
    <row r="9" customFormat="false" ht="15" hidden="false" customHeight="false" outlineLevel="0" collapsed="false">
      <c r="A9" s="9" t="n">
        <v>4</v>
      </c>
      <c r="B9" s="22"/>
      <c r="C9" s="23"/>
      <c r="D9" s="24"/>
      <c r="E9" s="23"/>
      <c r="F9" s="23"/>
      <c r="G9" s="23"/>
      <c r="H9" s="23"/>
      <c r="I9" s="23"/>
      <c r="J9" s="23"/>
      <c r="K9" s="23"/>
      <c r="L9" s="23"/>
      <c r="M9" s="25" t="str">
        <f aca="false">IF(B9="","",(COUNTIF(E9:G9,"✓")+COUNTIF(I9:L9,"✓")+COUNTIF(I9,"-"))/7)</f>
        <v/>
      </c>
      <c r="N9" s="8" t="str">
        <f aca="false">IF(B9="","",IF(M9&gt;=1,"育成完了",IF($C$3-B9&gt;6,"期限切れ（記録だけでもOK）",IF($C$3&lt;B9,"予約中","Day"&amp;($C$3-B9+1)&amp;" 育成中"))))</f>
        <v/>
      </c>
    </row>
    <row r="10" customFormat="false" ht="15" hidden="false" customHeight="false" outlineLevel="0" collapsed="false">
      <c r="A10" s="9" t="n">
        <v>5</v>
      </c>
      <c r="B10" s="22"/>
      <c r="C10" s="23"/>
      <c r="D10" s="24"/>
      <c r="E10" s="23"/>
      <c r="F10" s="23"/>
      <c r="G10" s="23"/>
      <c r="H10" s="23"/>
      <c r="I10" s="23"/>
      <c r="J10" s="23"/>
      <c r="K10" s="23"/>
      <c r="L10" s="23"/>
      <c r="M10" s="25" t="str">
        <f aca="false">IF(B10="","",(COUNTIF(E10:G10,"✓")+COUNTIF(I10:L10,"✓")+COUNTIF(I10,"-"))/7)</f>
        <v/>
      </c>
      <c r="N10" s="8" t="str">
        <f aca="false">IF(B10="","",IF(M10&gt;=1,"育成完了",IF($C$3-B10&gt;6,"期限切れ（記録だけでもOK）",IF($C$3&lt;B10,"予約中","Day"&amp;($C$3-B10+1)&amp;" 育成中"))))</f>
        <v/>
      </c>
    </row>
    <row r="11" customFormat="false" ht="15" hidden="false" customHeight="false" outlineLevel="0" collapsed="false">
      <c r="A11" s="9" t="n">
        <v>6</v>
      </c>
      <c r="B11" s="22"/>
      <c r="C11" s="23"/>
      <c r="D11" s="24"/>
      <c r="E11" s="23"/>
      <c r="F11" s="23"/>
      <c r="G11" s="23"/>
      <c r="H11" s="23"/>
      <c r="I11" s="23"/>
      <c r="J11" s="23"/>
      <c r="K11" s="23"/>
      <c r="L11" s="23"/>
      <c r="M11" s="25" t="str">
        <f aca="false">IF(B11="","",(COUNTIF(E11:G11,"✓")+COUNTIF(I11:L11,"✓")+COUNTIF(I11,"-"))/7)</f>
        <v/>
      </c>
      <c r="N11" s="8" t="str">
        <f aca="false">IF(B11="","",IF(M11&gt;=1,"育成完了",IF($C$3-B11&gt;6,"期限切れ（記録だけでもOK）",IF($C$3&lt;B11,"予約中","Day"&amp;($C$3-B11+1)&amp;" 育成中"))))</f>
        <v/>
      </c>
    </row>
    <row r="12" customFormat="false" ht="15" hidden="false" customHeight="false" outlineLevel="0" collapsed="false">
      <c r="A12" s="9" t="n">
        <v>7</v>
      </c>
      <c r="B12" s="22"/>
      <c r="C12" s="23"/>
      <c r="D12" s="24"/>
      <c r="E12" s="23"/>
      <c r="F12" s="23"/>
      <c r="G12" s="23"/>
      <c r="H12" s="23"/>
      <c r="I12" s="23"/>
      <c r="J12" s="23"/>
      <c r="K12" s="23"/>
      <c r="L12" s="23"/>
      <c r="M12" s="25" t="str">
        <f aca="false">IF(B12="","",(COUNTIF(E12:G12,"✓")+COUNTIF(I12:L12,"✓")+COUNTIF(I12,"-"))/7)</f>
        <v/>
      </c>
      <c r="N12" s="8" t="str">
        <f aca="false">IF(B12="","",IF(M12&gt;=1,"育成完了",IF($C$3-B12&gt;6,"期限切れ（記録だけでもOK）",IF($C$3&lt;B12,"予約中","Day"&amp;($C$3-B12+1)&amp;" 育成中"))))</f>
        <v/>
      </c>
    </row>
    <row r="13" customFormat="false" ht="15" hidden="false" customHeight="false" outlineLevel="0" collapsed="false">
      <c r="A13" s="9" t="n">
        <v>8</v>
      </c>
      <c r="B13" s="22"/>
      <c r="C13" s="23"/>
      <c r="D13" s="24"/>
      <c r="E13" s="23"/>
      <c r="F13" s="23"/>
      <c r="G13" s="23"/>
      <c r="H13" s="23"/>
      <c r="I13" s="23"/>
      <c r="J13" s="23"/>
      <c r="K13" s="23"/>
      <c r="L13" s="23"/>
      <c r="M13" s="25" t="str">
        <f aca="false">IF(B13="","",(COUNTIF(E13:G13,"✓")+COUNTIF(I13:L13,"✓")+COUNTIF(I13,"-"))/7)</f>
        <v/>
      </c>
      <c r="N13" s="8" t="str">
        <f aca="false">IF(B13="","",IF(M13&gt;=1,"育成完了",IF($C$3-B13&gt;6,"期限切れ（記録だけでもOK）",IF($C$3&lt;B13,"予約中","Day"&amp;($C$3-B13+1)&amp;" 育成中"))))</f>
        <v/>
      </c>
    </row>
    <row r="14" customFormat="false" ht="15" hidden="false" customHeight="false" outlineLevel="0" collapsed="false">
      <c r="A14" s="9" t="n">
        <v>9</v>
      </c>
      <c r="B14" s="22"/>
      <c r="C14" s="23"/>
      <c r="D14" s="24"/>
      <c r="E14" s="23"/>
      <c r="F14" s="23"/>
      <c r="G14" s="23"/>
      <c r="H14" s="23"/>
      <c r="I14" s="23"/>
      <c r="J14" s="23"/>
      <c r="K14" s="23"/>
      <c r="L14" s="23"/>
      <c r="M14" s="25" t="str">
        <f aca="false">IF(B14="","",(COUNTIF(E14:G14,"✓")+COUNTIF(I14:L14,"✓")+COUNTIF(I14,"-"))/7)</f>
        <v/>
      </c>
      <c r="N14" s="8" t="str">
        <f aca="false">IF(B14="","",IF(M14&gt;=1,"育成完了",IF($C$3-B14&gt;6,"期限切れ（記録だけでもOK）",IF($C$3&lt;B14,"予約中","Day"&amp;($C$3-B14+1)&amp;" 育成中"))))</f>
        <v/>
      </c>
    </row>
    <row r="15" customFormat="false" ht="15" hidden="false" customHeight="false" outlineLevel="0" collapsed="false">
      <c r="A15" s="9" t="n">
        <v>10</v>
      </c>
      <c r="B15" s="22"/>
      <c r="C15" s="23"/>
      <c r="D15" s="24"/>
      <c r="E15" s="23"/>
      <c r="F15" s="23"/>
      <c r="G15" s="23"/>
      <c r="H15" s="23"/>
      <c r="I15" s="23"/>
      <c r="J15" s="23"/>
      <c r="K15" s="23"/>
      <c r="L15" s="23"/>
      <c r="M15" s="25" t="str">
        <f aca="false">IF(B15="","",(COUNTIF(E15:G15,"✓")+COUNTIF(I15:L15,"✓")+COUNTIF(I15,"-"))/7)</f>
        <v/>
      </c>
      <c r="N15" s="8" t="str">
        <f aca="false">IF(B15="","",IF(M15&gt;=1,"育成完了",IF($C$3-B15&gt;6,"期限切れ（記録だけでもOK）",IF($C$3&lt;B15,"予約中","Day"&amp;($C$3-B15+1)&amp;" 育成中"))))</f>
        <v/>
      </c>
    </row>
    <row r="16" customFormat="false" ht="15" hidden="false" customHeight="false" outlineLevel="0" collapsed="false">
      <c r="A16" s="9" t="n">
        <v>11</v>
      </c>
      <c r="B16" s="22"/>
      <c r="C16" s="23"/>
      <c r="D16" s="24"/>
      <c r="E16" s="23"/>
      <c r="F16" s="23"/>
      <c r="G16" s="23"/>
      <c r="H16" s="23"/>
      <c r="I16" s="23"/>
      <c r="J16" s="23"/>
      <c r="K16" s="23"/>
      <c r="L16" s="23"/>
      <c r="M16" s="25" t="str">
        <f aca="false">IF(B16="","",(COUNTIF(E16:G16,"✓")+COUNTIF(I16:L16,"✓")+COUNTIF(I16,"-"))/7)</f>
        <v/>
      </c>
      <c r="N16" s="8" t="str">
        <f aca="false">IF(B16="","",IF(M16&gt;=1,"育成完了",IF($C$3-B16&gt;6,"期限切れ（記録だけでもOK）",IF($C$3&lt;B16,"予約中","Day"&amp;($C$3-B16+1)&amp;" 育成中"))))</f>
        <v/>
      </c>
    </row>
    <row r="17" customFormat="false" ht="15" hidden="false" customHeight="false" outlineLevel="0" collapsed="false">
      <c r="A17" s="9" t="n">
        <v>12</v>
      </c>
      <c r="B17" s="22"/>
      <c r="C17" s="23"/>
      <c r="D17" s="24"/>
      <c r="E17" s="23"/>
      <c r="F17" s="23"/>
      <c r="G17" s="23"/>
      <c r="H17" s="23"/>
      <c r="I17" s="23"/>
      <c r="J17" s="23"/>
      <c r="K17" s="23"/>
      <c r="L17" s="23"/>
      <c r="M17" s="25" t="str">
        <f aca="false">IF(B17="","",(COUNTIF(E17:G17,"✓")+COUNTIF(I17:L17,"✓")+COUNTIF(I17,"-"))/7)</f>
        <v/>
      </c>
      <c r="N17" s="8" t="str">
        <f aca="false">IF(B17="","",IF(M17&gt;=1,"育成完了",IF($C$3-B17&gt;6,"期限切れ（記録だけでもOK）",IF($C$3&lt;B17,"予約中","Day"&amp;($C$3-B17+1)&amp;" 育成中"))))</f>
        <v/>
      </c>
    </row>
    <row r="18" customFormat="false" ht="15" hidden="false" customHeight="false" outlineLevel="0" collapsed="false">
      <c r="A18" s="9" t="n">
        <v>13</v>
      </c>
      <c r="B18" s="22"/>
      <c r="C18" s="23"/>
      <c r="D18" s="24"/>
      <c r="E18" s="23"/>
      <c r="F18" s="23"/>
      <c r="G18" s="23"/>
      <c r="H18" s="23"/>
      <c r="I18" s="23"/>
      <c r="J18" s="23"/>
      <c r="K18" s="23"/>
      <c r="L18" s="23"/>
      <c r="M18" s="25" t="str">
        <f aca="false">IF(B18="","",(COUNTIF(E18:G18,"✓")+COUNTIF(I18:L18,"✓")+COUNTIF(I18,"-"))/7)</f>
        <v/>
      </c>
      <c r="N18" s="8" t="str">
        <f aca="false">IF(B18="","",IF(M18&gt;=1,"育成完了",IF($C$3-B18&gt;6,"期限切れ（記録だけでもOK）",IF($C$3&lt;B18,"予約中","Day"&amp;($C$3-B18+1)&amp;" 育成中"))))</f>
        <v/>
      </c>
    </row>
    <row r="19" customFormat="false" ht="15" hidden="false" customHeight="false" outlineLevel="0" collapsed="false">
      <c r="A19" s="9" t="n">
        <v>14</v>
      </c>
      <c r="B19" s="22"/>
      <c r="C19" s="23"/>
      <c r="D19" s="24"/>
      <c r="E19" s="23"/>
      <c r="F19" s="23"/>
      <c r="G19" s="23"/>
      <c r="H19" s="23"/>
      <c r="I19" s="23"/>
      <c r="J19" s="23"/>
      <c r="K19" s="23"/>
      <c r="L19" s="23"/>
      <c r="M19" s="25" t="str">
        <f aca="false">IF(B19="","",(COUNTIF(E19:G19,"✓")+COUNTIF(I19:L19,"✓")+COUNTIF(I19,"-"))/7)</f>
        <v/>
      </c>
      <c r="N19" s="8" t="str">
        <f aca="false">IF(B19="","",IF(M19&gt;=1,"育成完了",IF($C$3-B19&gt;6,"期限切れ（記録だけでもOK）",IF($C$3&lt;B19,"予約中","Day"&amp;($C$3-B19+1)&amp;" 育成中"))))</f>
        <v/>
      </c>
    </row>
    <row r="20" customFormat="false" ht="15" hidden="false" customHeight="false" outlineLevel="0" collapsed="false">
      <c r="A20" s="9" t="n">
        <v>15</v>
      </c>
      <c r="B20" s="22"/>
      <c r="C20" s="23"/>
      <c r="D20" s="24"/>
      <c r="E20" s="23"/>
      <c r="F20" s="23"/>
      <c r="G20" s="23"/>
      <c r="H20" s="23"/>
      <c r="I20" s="23"/>
      <c r="J20" s="23"/>
      <c r="K20" s="23"/>
      <c r="L20" s="23"/>
      <c r="M20" s="25" t="str">
        <f aca="false">IF(B20="","",(COUNTIF(E20:G20,"✓")+COUNTIF(I20:L20,"✓")+COUNTIF(I20,"-"))/7)</f>
        <v/>
      </c>
      <c r="N20" s="8" t="str">
        <f aca="false">IF(B20="","",IF(M20&gt;=1,"育成完了",IF($C$3-B20&gt;6,"期限切れ（記録だけでもOK）",IF($C$3&lt;B20,"予約中","Day"&amp;($C$3-B20+1)&amp;" 育成中"))))</f>
        <v/>
      </c>
    </row>
    <row r="21" customFormat="false" ht="15" hidden="false" customHeight="false" outlineLevel="0" collapsed="false">
      <c r="A21" s="9" t="n">
        <v>16</v>
      </c>
      <c r="B21" s="22"/>
      <c r="C21" s="23"/>
      <c r="D21" s="24"/>
      <c r="E21" s="23"/>
      <c r="F21" s="23"/>
      <c r="G21" s="23"/>
      <c r="H21" s="23"/>
      <c r="I21" s="23"/>
      <c r="J21" s="23"/>
      <c r="K21" s="23"/>
      <c r="L21" s="23"/>
      <c r="M21" s="25" t="str">
        <f aca="false">IF(B21="","",(COUNTIF(E21:G21,"✓")+COUNTIF(I21:L21,"✓")+COUNTIF(I21,"-"))/7)</f>
        <v/>
      </c>
      <c r="N21" s="8" t="str">
        <f aca="false">IF(B21="","",IF(M21&gt;=1,"育成完了",IF($C$3-B21&gt;6,"期限切れ（記録だけでもOK）",IF($C$3&lt;B21,"予約中","Day"&amp;($C$3-B21+1)&amp;" 育成中"))))</f>
        <v/>
      </c>
    </row>
    <row r="22" customFormat="false" ht="15" hidden="false" customHeight="false" outlineLevel="0" collapsed="false">
      <c r="A22" s="9" t="n">
        <v>17</v>
      </c>
      <c r="B22" s="22"/>
      <c r="C22" s="23"/>
      <c r="D22" s="24"/>
      <c r="E22" s="23"/>
      <c r="F22" s="23"/>
      <c r="G22" s="23"/>
      <c r="H22" s="23"/>
      <c r="I22" s="23"/>
      <c r="J22" s="23"/>
      <c r="K22" s="23"/>
      <c r="L22" s="23"/>
      <c r="M22" s="25" t="str">
        <f aca="false">IF(B22="","",(COUNTIF(E22:G22,"✓")+COUNTIF(I22:L22,"✓")+COUNTIF(I22,"-"))/7)</f>
        <v/>
      </c>
      <c r="N22" s="8" t="str">
        <f aca="false">IF(B22="","",IF(M22&gt;=1,"育成完了",IF($C$3-B22&gt;6,"期限切れ（記録だけでもOK）",IF($C$3&lt;B22,"予約中","Day"&amp;($C$3-B22+1)&amp;" 育成中"))))</f>
        <v/>
      </c>
    </row>
    <row r="23" customFormat="false" ht="15" hidden="false" customHeight="false" outlineLevel="0" collapsed="false">
      <c r="A23" s="9" t="n">
        <v>18</v>
      </c>
      <c r="B23" s="22"/>
      <c r="C23" s="23"/>
      <c r="D23" s="24"/>
      <c r="E23" s="23"/>
      <c r="F23" s="23"/>
      <c r="G23" s="23"/>
      <c r="H23" s="23"/>
      <c r="I23" s="23"/>
      <c r="J23" s="23"/>
      <c r="K23" s="23"/>
      <c r="L23" s="23"/>
      <c r="M23" s="25" t="str">
        <f aca="false">IF(B23="","",(COUNTIF(E23:G23,"✓")+COUNTIF(I23:L23,"✓")+COUNTIF(I23,"-"))/7)</f>
        <v/>
      </c>
      <c r="N23" s="8" t="str">
        <f aca="false">IF(B23="","",IF(M23&gt;=1,"育成完了",IF($C$3-B23&gt;6,"期限切れ（記録だけでもOK）",IF($C$3&lt;B23,"予約中","Day"&amp;($C$3-B23+1)&amp;" 育成中"))))</f>
        <v/>
      </c>
    </row>
    <row r="24" customFormat="false" ht="15" hidden="false" customHeight="false" outlineLevel="0" collapsed="false">
      <c r="A24" s="9" t="n">
        <v>19</v>
      </c>
      <c r="B24" s="22"/>
      <c r="C24" s="23"/>
      <c r="D24" s="24"/>
      <c r="E24" s="23"/>
      <c r="F24" s="23"/>
      <c r="G24" s="23"/>
      <c r="H24" s="23"/>
      <c r="I24" s="23"/>
      <c r="J24" s="23"/>
      <c r="K24" s="23"/>
      <c r="L24" s="23"/>
      <c r="M24" s="25" t="str">
        <f aca="false">IF(B24="","",(COUNTIF(E24:G24,"✓")+COUNTIF(I24:L24,"✓")+COUNTIF(I24,"-"))/7)</f>
        <v/>
      </c>
      <c r="N24" s="8" t="str">
        <f aca="false">IF(B24="","",IF(M24&gt;=1,"育成完了",IF($C$3-B24&gt;6,"期限切れ（記録だけでもOK）",IF($C$3&lt;B24,"予約中","Day"&amp;($C$3-B24+1)&amp;" 育成中"))))</f>
        <v/>
      </c>
    </row>
    <row r="25" customFormat="false" ht="15" hidden="false" customHeight="false" outlineLevel="0" collapsed="false">
      <c r="A25" s="9" t="n">
        <v>20</v>
      </c>
      <c r="B25" s="22"/>
      <c r="C25" s="23"/>
      <c r="D25" s="24"/>
      <c r="E25" s="23"/>
      <c r="F25" s="23"/>
      <c r="G25" s="23"/>
      <c r="H25" s="23"/>
      <c r="I25" s="23"/>
      <c r="J25" s="23"/>
      <c r="K25" s="23"/>
      <c r="L25" s="23"/>
      <c r="M25" s="25" t="str">
        <f aca="false">IF(B25="","",(COUNTIF(E25:G25,"✓")+COUNTIF(I25:L25,"✓")+COUNTIF(I25,"-"))/7)</f>
        <v/>
      </c>
      <c r="N25" s="8" t="str">
        <f aca="false">IF(B25="","",IF(M25&gt;=1,"育成完了",IF($C$3-B25&gt;6,"期限切れ（記録だけでもOK）",IF($C$3&lt;B25,"予約中","Day"&amp;($C$3-B25+1)&amp;" 育成中"))))</f>
        <v/>
      </c>
    </row>
    <row r="26" customFormat="false" ht="15" hidden="false" customHeight="false" outlineLevel="0" collapsed="false">
      <c r="A26" s="9" t="n">
        <v>21</v>
      </c>
      <c r="B26" s="22"/>
      <c r="C26" s="23"/>
      <c r="D26" s="24"/>
      <c r="E26" s="23"/>
      <c r="F26" s="23"/>
      <c r="G26" s="23"/>
      <c r="H26" s="23"/>
      <c r="I26" s="23"/>
      <c r="J26" s="23"/>
      <c r="K26" s="23"/>
      <c r="L26" s="23"/>
      <c r="M26" s="25" t="str">
        <f aca="false">IF(B26="","",(COUNTIF(E26:G26,"✓")+COUNTIF(I26:L26,"✓")+COUNTIF(I26,"-"))/7)</f>
        <v/>
      </c>
      <c r="N26" s="8" t="str">
        <f aca="false">IF(B26="","",IF(M26&gt;=1,"育成完了",IF($C$3-B26&gt;6,"期限切れ（記録だけでもOK）",IF($C$3&lt;B26,"予約中","Day"&amp;($C$3-B26+1)&amp;" 育成中"))))</f>
        <v/>
      </c>
    </row>
    <row r="27" customFormat="false" ht="15" hidden="false" customHeight="false" outlineLevel="0" collapsed="false">
      <c r="A27" s="9" t="n">
        <v>22</v>
      </c>
      <c r="B27" s="22"/>
      <c r="C27" s="23"/>
      <c r="D27" s="24"/>
      <c r="E27" s="23"/>
      <c r="F27" s="23"/>
      <c r="G27" s="23"/>
      <c r="H27" s="23"/>
      <c r="I27" s="23"/>
      <c r="J27" s="23"/>
      <c r="K27" s="23"/>
      <c r="L27" s="23"/>
      <c r="M27" s="25" t="str">
        <f aca="false">IF(B27="","",(COUNTIF(E27:G27,"✓")+COUNTIF(I27:L27,"✓")+COUNTIF(I27,"-"))/7)</f>
        <v/>
      </c>
      <c r="N27" s="8" t="str">
        <f aca="false">IF(B27="","",IF(M27&gt;=1,"育成完了",IF($C$3-B27&gt;6,"期限切れ（記録だけでもOK）",IF($C$3&lt;B27,"予約中","Day"&amp;($C$3-B27+1)&amp;" 育成中"))))</f>
        <v/>
      </c>
    </row>
    <row r="28" customFormat="false" ht="15" hidden="false" customHeight="false" outlineLevel="0" collapsed="false">
      <c r="A28" s="9" t="n">
        <v>23</v>
      </c>
      <c r="B28" s="22"/>
      <c r="C28" s="23"/>
      <c r="D28" s="24"/>
      <c r="E28" s="23"/>
      <c r="F28" s="23"/>
      <c r="G28" s="23"/>
      <c r="H28" s="23"/>
      <c r="I28" s="23"/>
      <c r="J28" s="23"/>
      <c r="K28" s="23"/>
      <c r="L28" s="23"/>
      <c r="M28" s="25" t="str">
        <f aca="false">IF(B28="","",(COUNTIF(E28:G28,"✓")+COUNTIF(I28:L28,"✓")+COUNTIF(I28,"-"))/7)</f>
        <v/>
      </c>
      <c r="N28" s="8" t="str">
        <f aca="false">IF(B28="","",IF(M28&gt;=1,"育成完了",IF($C$3-B28&gt;6,"期限切れ（記録だけでもOK）",IF($C$3&lt;B28,"予約中","Day"&amp;($C$3-B28+1)&amp;" 育成中"))))</f>
        <v/>
      </c>
    </row>
    <row r="29" customFormat="false" ht="15" hidden="false" customHeight="false" outlineLevel="0" collapsed="false">
      <c r="A29" s="9" t="n">
        <v>24</v>
      </c>
      <c r="B29" s="22"/>
      <c r="C29" s="23"/>
      <c r="D29" s="24"/>
      <c r="E29" s="23"/>
      <c r="F29" s="23"/>
      <c r="G29" s="23"/>
      <c r="H29" s="23"/>
      <c r="I29" s="23"/>
      <c r="J29" s="23"/>
      <c r="K29" s="23"/>
      <c r="L29" s="23"/>
      <c r="M29" s="25" t="str">
        <f aca="false">IF(B29="","",(COUNTIF(E29:G29,"✓")+COUNTIF(I29:L29,"✓")+COUNTIF(I29,"-"))/7)</f>
        <v/>
      </c>
      <c r="N29" s="8" t="str">
        <f aca="false">IF(B29="","",IF(M29&gt;=1,"育成完了",IF($C$3-B29&gt;6,"期限切れ（記録だけでもOK）",IF($C$3&lt;B29,"予約中","Day"&amp;($C$3-B29+1)&amp;" 育成中"))))</f>
        <v/>
      </c>
    </row>
    <row r="30" customFormat="false" ht="15" hidden="false" customHeight="false" outlineLevel="0" collapsed="false">
      <c r="A30" s="9" t="n">
        <v>25</v>
      </c>
      <c r="B30" s="22"/>
      <c r="C30" s="23"/>
      <c r="D30" s="24"/>
      <c r="E30" s="23"/>
      <c r="F30" s="23"/>
      <c r="G30" s="23"/>
      <c r="H30" s="23"/>
      <c r="I30" s="23"/>
      <c r="J30" s="23"/>
      <c r="K30" s="23"/>
      <c r="L30" s="23"/>
      <c r="M30" s="25" t="str">
        <f aca="false">IF(B30="","",(COUNTIF(E30:G30,"✓")+COUNTIF(I30:L30,"✓")+COUNTIF(I30,"-"))/7)</f>
        <v/>
      </c>
      <c r="N30" s="8" t="str">
        <f aca="false">IF(B30="","",IF(M30&gt;=1,"育成完了",IF($C$3-B30&gt;6,"期限切れ（記録だけでもOK）",IF($C$3&lt;B30,"予約中","Day"&amp;($C$3-B30+1)&amp;" 育成中"))))</f>
        <v/>
      </c>
    </row>
    <row r="31" customFormat="false" ht="15" hidden="false" customHeight="false" outlineLevel="0" collapsed="false">
      <c r="A31" s="9" t="n">
        <v>26</v>
      </c>
      <c r="B31" s="22"/>
      <c r="C31" s="23"/>
      <c r="D31" s="24"/>
      <c r="E31" s="23"/>
      <c r="F31" s="23"/>
      <c r="G31" s="23"/>
      <c r="H31" s="23"/>
      <c r="I31" s="23"/>
      <c r="J31" s="23"/>
      <c r="K31" s="23"/>
      <c r="L31" s="23"/>
      <c r="M31" s="25" t="str">
        <f aca="false">IF(B31="","",(COUNTIF(E31:G31,"✓")+COUNTIF(I31:L31,"✓")+COUNTIF(I31,"-"))/7)</f>
        <v/>
      </c>
      <c r="N31" s="8" t="str">
        <f aca="false">IF(B31="","",IF(M31&gt;=1,"育成完了",IF($C$3-B31&gt;6,"期限切れ（記録だけでもOK）",IF($C$3&lt;B31,"予約中","Day"&amp;($C$3-B31+1)&amp;" 育成中"))))</f>
        <v/>
      </c>
    </row>
    <row r="32" customFormat="false" ht="15" hidden="false" customHeight="false" outlineLevel="0" collapsed="false">
      <c r="A32" s="9" t="n">
        <v>27</v>
      </c>
      <c r="B32" s="22"/>
      <c r="C32" s="23"/>
      <c r="D32" s="24"/>
      <c r="E32" s="23"/>
      <c r="F32" s="23"/>
      <c r="G32" s="23"/>
      <c r="H32" s="23"/>
      <c r="I32" s="23"/>
      <c r="J32" s="23"/>
      <c r="K32" s="23"/>
      <c r="L32" s="23"/>
      <c r="M32" s="25" t="str">
        <f aca="false">IF(B32="","",(COUNTIF(E32:G32,"✓")+COUNTIF(I32:L32,"✓")+COUNTIF(I32,"-"))/7)</f>
        <v/>
      </c>
      <c r="N32" s="8" t="str">
        <f aca="false">IF(B32="","",IF(M32&gt;=1,"育成完了",IF($C$3-B32&gt;6,"期限切れ（記録だけでもOK）",IF($C$3&lt;B32,"予約中","Day"&amp;($C$3-B32+1)&amp;" 育成中"))))</f>
        <v/>
      </c>
    </row>
    <row r="33" customFormat="false" ht="15" hidden="false" customHeight="false" outlineLevel="0" collapsed="false">
      <c r="A33" s="9" t="n">
        <v>28</v>
      </c>
      <c r="B33" s="22"/>
      <c r="C33" s="23"/>
      <c r="D33" s="24"/>
      <c r="E33" s="23"/>
      <c r="F33" s="23"/>
      <c r="G33" s="23"/>
      <c r="H33" s="23"/>
      <c r="I33" s="23"/>
      <c r="J33" s="23"/>
      <c r="K33" s="23"/>
      <c r="L33" s="23"/>
      <c r="M33" s="25" t="str">
        <f aca="false">IF(B33="","",(COUNTIF(E33:G33,"✓")+COUNTIF(I33:L33,"✓")+COUNTIF(I33,"-"))/7)</f>
        <v/>
      </c>
      <c r="N33" s="8" t="str">
        <f aca="false">IF(B33="","",IF(M33&gt;=1,"育成完了",IF($C$3-B33&gt;6,"期限切れ（記録だけでもOK）",IF($C$3&lt;B33,"予約中","Day"&amp;($C$3-B33+1)&amp;" 育成中"))))</f>
        <v/>
      </c>
    </row>
    <row r="34" customFormat="false" ht="15" hidden="false" customHeight="false" outlineLevel="0" collapsed="false">
      <c r="A34" s="9" t="n">
        <v>29</v>
      </c>
      <c r="B34" s="22"/>
      <c r="C34" s="23"/>
      <c r="D34" s="24"/>
      <c r="E34" s="23"/>
      <c r="F34" s="23"/>
      <c r="G34" s="23"/>
      <c r="H34" s="23"/>
      <c r="I34" s="23"/>
      <c r="J34" s="23"/>
      <c r="K34" s="23"/>
      <c r="L34" s="23"/>
      <c r="M34" s="25" t="str">
        <f aca="false">IF(B34="","",(COUNTIF(E34:G34,"✓")+COUNTIF(I34:L34,"✓")+COUNTIF(I34,"-"))/7)</f>
        <v/>
      </c>
      <c r="N34" s="8" t="str">
        <f aca="false">IF(B34="","",IF(M34&gt;=1,"育成完了",IF($C$3-B34&gt;6,"期限切れ（記録だけでもOK）",IF($C$3&lt;B34,"予約中","Day"&amp;($C$3-B34+1)&amp;" 育成中"))))</f>
        <v/>
      </c>
    </row>
    <row r="35" customFormat="false" ht="15" hidden="false" customHeight="false" outlineLevel="0" collapsed="false">
      <c r="A35" s="9" t="n">
        <v>30</v>
      </c>
      <c r="B35" s="22"/>
      <c r="C35" s="23"/>
      <c r="D35" s="24"/>
      <c r="E35" s="23"/>
      <c r="F35" s="23"/>
      <c r="G35" s="23"/>
      <c r="H35" s="23"/>
      <c r="I35" s="23"/>
      <c r="J35" s="23"/>
      <c r="K35" s="23"/>
      <c r="L35" s="23"/>
      <c r="M35" s="25" t="str">
        <f aca="false">IF(B35="","",(COUNTIF(E35:G35,"✓")+COUNTIF(I35:L35,"✓")+COUNTIF(I35,"-"))/7)</f>
        <v/>
      </c>
      <c r="N35" s="8" t="str">
        <f aca="false">IF(B35="","",IF(M35&gt;=1,"育成完了",IF($C$3-B35&gt;6,"期限切れ（記録だけでもOK）",IF($C$3&lt;B35,"予約中","Day"&amp;($C$3-B35+1)&amp;" 育成中"))))</f>
        <v/>
      </c>
    </row>
    <row r="36" customFormat="false" ht="15" hidden="false" customHeight="false" outlineLevel="0" collapsed="false">
      <c r="A36" s="9" t="n">
        <v>31</v>
      </c>
      <c r="B36" s="22"/>
      <c r="C36" s="23"/>
      <c r="D36" s="24"/>
      <c r="E36" s="23"/>
      <c r="F36" s="23"/>
      <c r="G36" s="23"/>
      <c r="H36" s="23"/>
      <c r="I36" s="23"/>
      <c r="J36" s="23"/>
      <c r="K36" s="23"/>
      <c r="L36" s="23"/>
      <c r="M36" s="25" t="str">
        <f aca="false">IF(B36="","",(COUNTIF(E36:G36,"✓")+COUNTIF(I36:L36,"✓")+COUNTIF(I36,"-"))/7)</f>
        <v/>
      </c>
      <c r="N36" s="8" t="str">
        <f aca="false">IF(B36="","",IF(M36&gt;=1,"育成完了",IF($C$3-B36&gt;6,"期限切れ（記録だけでもOK）",IF($C$3&lt;B36,"予約中","Day"&amp;($C$3-B36+1)&amp;" 育成中"))))</f>
        <v/>
      </c>
    </row>
    <row r="37" customFormat="false" ht="15" hidden="false" customHeight="false" outlineLevel="0" collapsed="false">
      <c r="A37" s="9" t="n">
        <v>32</v>
      </c>
      <c r="B37" s="22"/>
      <c r="C37" s="23"/>
      <c r="D37" s="24"/>
      <c r="E37" s="23"/>
      <c r="F37" s="23"/>
      <c r="G37" s="23"/>
      <c r="H37" s="23"/>
      <c r="I37" s="23"/>
      <c r="J37" s="23"/>
      <c r="K37" s="23"/>
      <c r="L37" s="23"/>
      <c r="M37" s="25" t="str">
        <f aca="false">IF(B37="","",(COUNTIF(E37:G37,"✓")+COUNTIF(I37:L37,"✓")+COUNTIF(I37,"-"))/7)</f>
        <v/>
      </c>
      <c r="N37" s="8" t="str">
        <f aca="false">IF(B37="","",IF(M37&gt;=1,"育成完了",IF($C$3-B37&gt;6,"期限切れ（記録だけでもOK）",IF($C$3&lt;B37,"予約中","Day"&amp;($C$3-B37+1)&amp;" 育成中"))))</f>
        <v/>
      </c>
    </row>
    <row r="38" customFormat="false" ht="15" hidden="false" customHeight="false" outlineLevel="0" collapsed="false">
      <c r="A38" s="9" t="n">
        <v>33</v>
      </c>
      <c r="B38" s="22"/>
      <c r="C38" s="23"/>
      <c r="D38" s="24"/>
      <c r="E38" s="23"/>
      <c r="F38" s="23"/>
      <c r="G38" s="23"/>
      <c r="H38" s="23"/>
      <c r="I38" s="23"/>
      <c r="J38" s="23"/>
      <c r="K38" s="23"/>
      <c r="L38" s="23"/>
      <c r="M38" s="25" t="str">
        <f aca="false">IF(B38="","",(COUNTIF(E38:G38,"✓")+COUNTIF(I38:L38,"✓")+COUNTIF(I38,"-"))/7)</f>
        <v/>
      </c>
      <c r="N38" s="8" t="str">
        <f aca="false">IF(B38="","",IF(M38&gt;=1,"育成完了",IF($C$3-B38&gt;6,"期限切れ（記録だけでもOK）",IF($C$3&lt;B38,"予約中","Day"&amp;($C$3-B38+1)&amp;" 育成中"))))</f>
        <v/>
      </c>
    </row>
    <row r="39" customFormat="false" ht="15" hidden="false" customHeight="false" outlineLevel="0" collapsed="false">
      <c r="A39" s="9" t="n">
        <v>34</v>
      </c>
      <c r="B39" s="22"/>
      <c r="C39" s="23"/>
      <c r="D39" s="24"/>
      <c r="E39" s="23"/>
      <c r="F39" s="23"/>
      <c r="G39" s="23"/>
      <c r="H39" s="23"/>
      <c r="I39" s="23"/>
      <c r="J39" s="23"/>
      <c r="K39" s="23"/>
      <c r="L39" s="23"/>
      <c r="M39" s="25" t="str">
        <f aca="false">IF(B39="","",(COUNTIF(E39:G39,"✓")+COUNTIF(I39:L39,"✓")+COUNTIF(I39,"-"))/7)</f>
        <v/>
      </c>
      <c r="N39" s="8" t="str">
        <f aca="false">IF(B39="","",IF(M39&gt;=1,"育成完了",IF($C$3-B39&gt;6,"期限切れ（記録だけでもOK）",IF($C$3&lt;B39,"予約中","Day"&amp;($C$3-B39+1)&amp;" 育成中"))))</f>
        <v/>
      </c>
    </row>
    <row r="40" customFormat="false" ht="15" hidden="false" customHeight="false" outlineLevel="0" collapsed="false">
      <c r="A40" s="9" t="n">
        <v>35</v>
      </c>
      <c r="B40" s="22"/>
      <c r="C40" s="23"/>
      <c r="D40" s="24"/>
      <c r="E40" s="23"/>
      <c r="F40" s="23"/>
      <c r="G40" s="23"/>
      <c r="H40" s="23"/>
      <c r="I40" s="23"/>
      <c r="J40" s="23"/>
      <c r="K40" s="23"/>
      <c r="L40" s="23"/>
      <c r="M40" s="25" t="str">
        <f aca="false">IF(B40="","",(COUNTIF(E40:G40,"✓")+COUNTIF(I40:L40,"✓")+COUNTIF(I40,"-"))/7)</f>
        <v/>
      </c>
      <c r="N40" s="8" t="str">
        <f aca="false">IF(B40="","",IF(M40&gt;=1,"育成完了",IF($C$3-B40&gt;6,"期限切れ（記録だけでもOK）",IF($C$3&lt;B40,"予約中","Day"&amp;($C$3-B40+1)&amp;" 育成中"))))</f>
        <v/>
      </c>
    </row>
    <row r="41" customFormat="false" ht="15" hidden="false" customHeight="false" outlineLevel="0" collapsed="false">
      <c r="A41" s="9" t="n">
        <v>36</v>
      </c>
      <c r="B41" s="22"/>
      <c r="C41" s="23"/>
      <c r="D41" s="24"/>
      <c r="E41" s="23"/>
      <c r="F41" s="23"/>
      <c r="G41" s="23"/>
      <c r="H41" s="23"/>
      <c r="I41" s="23"/>
      <c r="J41" s="23"/>
      <c r="K41" s="23"/>
      <c r="L41" s="23"/>
      <c r="M41" s="25" t="str">
        <f aca="false">IF(B41="","",(COUNTIF(E41:G41,"✓")+COUNTIF(I41:L41,"✓")+COUNTIF(I41,"-"))/7)</f>
        <v/>
      </c>
      <c r="N41" s="8" t="str">
        <f aca="false">IF(B41="","",IF(M41&gt;=1,"育成完了",IF($C$3-B41&gt;6,"期限切れ（記録だけでもOK）",IF($C$3&lt;B41,"予約中","Day"&amp;($C$3-B41+1)&amp;" 育成中"))))</f>
        <v/>
      </c>
    </row>
    <row r="42" customFormat="false" ht="15" hidden="false" customHeight="false" outlineLevel="0" collapsed="false">
      <c r="A42" s="9" t="n">
        <v>37</v>
      </c>
      <c r="B42" s="22"/>
      <c r="C42" s="23"/>
      <c r="D42" s="24"/>
      <c r="E42" s="23"/>
      <c r="F42" s="23"/>
      <c r="G42" s="23"/>
      <c r="H42" s="23"/>
      <c r="I42" s="23"/>
      <c r="J42" s="23"/>
      <c r="K42" s="23"/>
      <c r="L42" s="23"/>
      <c r="M42" s="25" t="str">
        <f aca="false">IF(B42="","",(COUNTIF(E42:G42,"✓")+COUNTIF(I42:L42,"✓")+COUNTIF(I42,"-"))/7)</f>
        <v/>
      </c>
      <c r="N42" s="8" t="str">
        <f aca="false">IF(B42="","",IF(M42&gt;=1,"育成完了",IF($C$3-B42&gt;6,"期限切れ（記録だけでもOK）",IF($C$3&lt;B42,"予約中","Day"&amp;($C$3-B42+1)&amp;" 育成中"))))</f>
        <v/>
      </c>
    </row>
    <row r="43" customFormat="false" ht="15" hidden="false" customHeight="false" outlineLevel="0" collapsed="false">
      <c r="A43" s="9" t="n">
        <v>38</v>
      </c>
      <c r="B43" s="22"/>
      <c r="C43" s="23"/>
      <c r="D43" s="24"/>
      <c r="E43" s="23"/>
      <c r="F43" s="23"/>
      <c r="G43" s="23"/>
      <c r="H43" s="23"/>
      <c r="I43" s="23"/>
      <c r="J43" s="23"/>
      <c r="K43" s="23"/>
      <c r="L43" s="23"/>
      <c r="M43" s="25" t="str">
        <f aca="false">IF(B43="","",(COUNTIF(E43:G43,"✓")+COUNTIF(I43:L43,"✓")+COUNTIF(I43,"-"))/7)</f>
        <v/>
      </c>
      <c r="N43" s="8" t="str">
        <f aca="false">IF(B43="","",IF(M43&gt;=1,"育成完了",IF($C$3-B43&gt;6,"期限切れ（記録だけでもOK）",IF($C$3&lt;B43,"予約中","Day"&amp;($C$3-B43+1)&amp;" 育成中"))))</f>
        <v/>
      </c>
    </row>
    <row r="44" customFormat="false" ht="15" hidden="false" customHeight="false" outlineLevel="0" collapsed="false">
      <c r="A44" s="9" t="n">
        <v>39</v>
      </c>
      <c r="B44" s="22"/>
      <c r="C44" s="23"/>
      <c r="D44" s="24"/>
      <c r="E44" s="23"/>
      <c r="F44" s="23"/>
      <c r="G44" s="23"/>
      <c r="H44" s="23"/>
      <c r="I44" s="23"/>
      <c r="J44" s="23"/>
      <c r="K44" s="23"/>
      <c r="L44" s="23"/>
      <c r="M44" s="25" t="str">
        <f aca="false">IF(B44="","",(COUNTIF(E44:G44,"✓")+COUNTIF(I44:L44,"✓")+COUNTIF(I44,"-"))/7)</f>
        <v/>
      </c>
      <c r="N44" s="8" t="str">
        <f aca="false">IF(B44="","",IF(M44&gt;=1,"育成完了",IF($C$3-B44&gt;6,"期限切れ（記録だけでもOK）",IF($C$3&lt;B44,"予約中","Day"&amp;($C$3-B44+1)&amp;" 育成中"))))</f>
        <v/>
      </c>
    </row>
    <row r="45" customFormat="false" ht="15" hidden="false" customHeight="false" outlineLevel="0" collapsed="false">
      <c r="A45" s="9" t="n">
        <v>40</v>
      </c>
      <c r="B45" s="22"/>
      <c r="C45" s="23"/>
      <c r="D45" s="24"/>
      <c r="E45" s="23"/>
      <c r="F45" s="23"/>
      <c r="G45" s="23"/>
      <c r="H45" s="23"/>
      <c r="I45" s="23"/>
      <c r="J45" s="23"/>
      <c r="K45" s="23"/>
      <c r="L45" s="23"/>
      <c r="M45" s="25" t="str">
        <f aca="false">IF(B45="","",(COUNTIF(E45:G45,"✓")+COUNTIF(I45:L45,"✓")+COUNTIF(I45,"-"))/7)</f>
        <v/>
      </c>
      <c r="N45" s="8" t="str">
        <f aca="false">IF(B45="","",IF(M45&gt;=1,"育成完了",IF($C$3-B45&gt;6,"期限切れ（記録だけでもOK）",IF($C$3&lt;B45,"予約中","Day"&amp;($C$3-B45+1)&amp;" 育成中"))))</f>
        <v/>
      </c>
    </row>
    <row r="46" customFormat="false" ht="15" hidden="false" customHeight="false" outlineLevel="0" collapsed="false">
      <c r="A46" s="9" t="n">
        <v>41</v>
      </c>
      <c r="B46" s="22"/>
      <c r="C46" s="23"/>
      <c r="D46" s="24"/>
      <c r="E46" s="23"/>
      <c r="F46" s="23"/>
      <c r="G46" s="23"/>
      <c r="H46" s="23"/>
      <c r="I46" s="23"/>
      <c r="J46" s="23"/>
      <c r="K46" s="23"/>
      <c r="L46" s="23"/>
      <c r="M46" s="25" t="str">
        <f aca="false">IF(B46="","",(COUNTIF(E46:G46,"✓")+COUNTIF(I46:L46,"✓")+COUNTIF(I46,"-"))/7)</f>
        <v/>
      </c>
      <c r="N46" s="8" t="str">
        <f aca="false">IF(B46="","",IF(M46&gt;=1,"育成完了",IF($C$3-B46&gt;6,"期限切れ（記録だけでもOK）",IF($C$3&lt;B46,"予約中","Day"&amp;($C$3-B46+1)&amp;" 育成中"))))</f>
        <v/>
      </c>
    </row>
    <row r="47" customFormat="false" ht="15" hidden="false" customHeight="false" outlineLevel="0" collapsed="false">
      <c r="A47" s="9" t="n">
        <v>42</v>
      </c>
      <c r="B47" s="22"/>
      <c r="C47" s="23"/>
      <c r="D47" s="24"/>
      <c r="E47" s="23"/>
      <c r="F47" s="23"/>
      <c r="G47" s="23"/>
      <c r="H47" s="23"/>
      <c r="I47" s="23"/>
      <c r="J47" s="23"/>
      <c r="K47" s="23"/>
      <c r="L47" s="23"/>
      <c r="M47" s="25" t="str">
        <f aca="false">IF(B47="","",(COUNTIF(E47:G47,"✓")+COUNTIF(I47:L47,"✓")+COUNTIF(I47,"-"))/7)</f>
        <v/>
      </c>
      <c r="N47" s="8" t="str">
        <f aca="false">IF(B47="","",IF(M47&gt;=1,"育成完了",IF($C$3-B47&gt;6,"期限切れ（記録だけでもOK）",IF($C$3&lt;B47,"予約中","Day"&amp;($C$3-B47+1)&amp;" 育成中"))))</f>
        <v/>
      </c>
    </row>
    <row r="48" customFormat="false" ht="15" hidden="false" customHeight="false" outlineLevel="0" collapsed="false">
      <c r="A48" s="9" t="n">
        <v>43</v>
      </c>
      <c r="B48" s="22"/>
      <c r="C48" s="23"/>
      <c r="D48" s="24"/>
      <c r="E48" s="23"/>
      <c r="F48" s="23"/>
      <c r="G48" s="23"/>
      <c r="H48" s="23"/>
      <c r="I48" s="23"/>
      <c r="J48" s="23"/>
      <c r="K48" s="23"/>
      <c r="L48" s="23"/>
      <c r="M48" s="25" t="str">
        <f aca="false">IF(B48="","",(COUNTIF(E48:G48,"✓")+COUNTIF(I48:L48,"✓")+COUNTIF(I48,"-"))/7)</f>
        <v/>
      </c>
      <c r="N48" s="8" t="str">
        <f aca="false">IF(B48="","",IF(M48&gt;=1,"育成完了",IF($C$3-B48&gt;6,"期限切れ（記録だけでもOK）",IF($C$3&lt;B48,"予約中","Day"&amp;($C$3-B48+1)&amp;" 育成中"))))</f>
        <v/>
      </c>
    </row>
    <row r="49" customFormat="false" ht="15" hidden="false" customHeight="false" outlineLevel="0" collapsed="false">
      <c r="A49" s="9" t="n">
        <v>44</v>
      </c>
      <c r="B49" s="22"/>
      <c r="C49" s="23"/>
      <c r="D49" s="24"/>
      <c r="E49" s="23"/>
      <c r="F49" s="23"/>
      <c r="G49" s="23"/>
      <c r="H49" s="23"/>
      <c r="I49" s="23"/>
      <c r="J49" s="23"/>
      <c r="K49" s="23"/>
      <c r="L49" s="23"/>
      <c r="M49" s="25" t="str">
        <f aca="false">IF(B49="","",(COUNTIF(E49:G49,"✓")+COUNTIF(I49:L49,"✓")+COUNTIF(I49,"-"))/7)</f>
        <v/>
      </c>
      <c r="N49" s="8" t="str">
        <f aca="false">IF(B49="","",IF(M49&gt;=1,"育成完了",IF($C$3-B49&gt;6,"期限切れ（記録だけでもOK）",IF($C$3&lt;B49,"予約中","Day"&amp;($C$3-B49+1)&amp;" 育成中"))))</f>
        <v/>
      </c>
    </row>
    <row r="50" customFormat="false" ht="15" hidden="false" customHeight="false" outlineLevel="0" collapsed="false">
      <c r="A50" s="9" t="n">
        <v>45</v>
      </c>
      <c r="B50" s="22"/>
      <c r="C50" s="23"/>
      <c r="D50" s="24"/>
      <c r="E50" s="23"/>
      <c r="F50" s="23"/>
      <c r="G50" s="23"/>
      <c r="H50" s="23"/>
      <c r="I50" s="23"/>
      <c r="J50" s="23"/>
      <c r="K50" s="23"/>
      <c r="L50" s="23"/>
      <c r="M50" s="25" t="str">
        <f aca="false">IF(B50="","",(COUNTIF(E50:G50,"✓")+COUNTIF(I50:L50,"✓")+COUNTIF(I50,"-"))/7)</f>
        <v/>
      </c>
      <c r="N50" s="8" t="str">
        <f aca="false">IF(B50="","",IF(M50&gt;=1,"育成完了",IF($C$3-B50&gt;6,"期限切れ（記録だけでもOK）",IF($C$3&lt;B50,"予約中","Day"&amp;($C$3-B50+1)&amp;" 育成中"))))</f>
        <v/>
      </c>
    </row>
    <row r="51" customFormat="false" ht="15" hidden="false" customHeight="false" outlineLevel="0" collapsed="false">
      <c r="A51" s="9" t="n">
        <v>46</v>
      </c>
      <c r="B51" s="22"/>
      <c r="C51" s="23"/>
      <c r="D51" s="24"/>
      <c r="E51" s="23"/>
      <c r="F51" s="23"/>
      <c r="G51" s="23"/>
      <c r="H51" s="23"/>
      <c r="I51" s="23"/>
      <c r="J51" s="23"/>
      <c r="K51" s="23"/>
      <c r="L51" s="23"/>
      <c r="M51" s="25" t="str">
        <f aca="false">IF(B51="","",(COUNTIF(E51:G51,"✓")+COUNTIF(I51:L51,"✓")+COUNTIF(I51,"-"))/7)</f>
        <v/>
      </c>
      <c r="N51" s="8" t="str">
        <f aca="false">IF(B51="","",IF(M51&gt;=1,"育成完了",IF($C$3-B51&gt;6,"期限切れ（記録だけでもOK）",IF($C$3&lt;B51,"予約中","Day"&amp;($C$3-B51+1)&amp;" 育成中"))))</f>
        <v/>
      </c>
    </row>
    <row r="52" customFormat="false" ht="15" hidden="false" customHeight="false" outlineLevel="0" collapsed="false">
      <c r="A52" s="9" t="n">
        <v>47</v>
      </c>
      <c r="B52" s="22"/>
      <c r="C52" s="23"/>
      <c r="D52" s="24"/>
      <c r="E52" s="23"/>
      <c r="F52" s="23"/>
      <c r="G52" s="23"/>
      <c r="H52" s="23"/>
      <c r="I52" s="23"/>
      <c r="J52" s="23"/>
      <c r="K52" s="23"/>
      <c r="L52" s="23"/>
      <c r="M52" s="25" t="str">
        <f aca="false">IF(B52="","",(COUNTIF(E52:G52,"✓")+COUNTIF(I52:L52,"✓")+COUNTIF(I52,"-"))/7)</f>
        <v/>
      </c>
      <c r="N52" s="8" t="str">
        <f aca="false">IF(B52="","",IF(M52&gt;=1,"育成完了",IF($C$3-B52&gt;6,"期限切れ（記録だけでもOK）",IF($C$3&lt;B52,"予約中","Day"&amp;($C$3-B52+1)&amp;" 育成中"))))</f>
        <v/>
      </c>
    </row>
    <row r="53" customFormat="false" ht="15" hidden="false" customHeight="false" outlineLevel="0" collapsed="false">
      <c r="A53" s="9" t="n">
        <v>48</v>
      </c>
      <c r="B53" s="22"/>
      <c r="C53" s="23"/>
      <c r="D53" s="24"/>
      <c r="E53" s="23"/>
      <c r="F53" s="23"/>
      <c r="G53" s="23"/>
      <c r="H53" s="23"/>
      <c r="I53" s="23"/>
      <c r="J53" s="23"/>
      <c r="K53" s="23"/>
      <c r="L53" s="23"/>
      <c r="M53" s="25" t="str">
        <f aca="false">IF(B53="","",(COUNTIF(E53:G53,"✓")+COUNTIF(I53:L53,"✓")+COUNTIF(I53,"-"))/7)</f>
        <v/>
      </c>
      <c r="N53" s="8" t="str">
        <f aca="false">IF(B53="","",IF(M53&gt;=1,"育成完了",IF($C$3-B53&gt;6,"期限切れ（記録だけでもOK）",IF($C$3&lt;B53,"予約中","Day"&amp;($C$3-B53+1)&amp;" 育成中"))))</f>
        <v/>
      </c>
    </row>
    <row r="54" customFormat="false" ht="15" hidden="false" customHeight="false" outlineLevel="0" collapsed="false">
      <c r="A54" s="9" t="n">
        <v>49</v>
      </c>
      <c r="B54" s="22"/>
      <c r="C54" s="23"/>
      <c r="D54" s="24"/>
      <c r="E54" s="23"/>
      <c r="F54" s="23"/>
      <c r="G54" s="23"/>
      <c r="H54" s="23"/>
      <c r="I54" s="23"/>
      <c r="J54" s="23"/>
      <c r="K54" s="23"/>
      <c r="L54" s="23"/>
      <c r="M54" s="25" t="str">
        <f aca="false">IF(B54="","",(COUNTIF(E54:G54,"✓")+COUNTIF(I54:L54,"✓")+COUNTIF(I54,"-"))/7)</f>
        <v/>
      </c>
      <c r="N54" s="8" t="str">
        <f aca="false">IF(B54="","",IF(M54&gt;=1,"育成完了",IF($C$3-B54&gt;6,"期限切れ（記録だけでもOK）",IF($C$3&lt;B54,"予約中","Day"&amp;($C$3-B54+1)&amp;" 育成中"))))</f>
        <v/>
      </c>
    </row>
    <row r="55" customFormat="false" ht="15" hidden="false" customHeight="false" outlineLevel="0" collapsed="false">
      <c r="A55" s="9" t="n">
        <v>50</v>
      </c>
      <c r="B55" s="22"/>
      <c r="C55" s="23"/>
      <c r="D55" s="24"/>
      <c r="E55" s="23"/>
      <c r="F55" s="23"/>
      <c r="G55" s="23"/>
      <c r="H55" s="23"/>
      <c r="I55" s="23"/>
      <c r="J55" s="23"/>
      <c r="K55" s="23"/>
      <c r="L55" s="23"/>
      <c r="M55" s="25" t="str">
        <f aca="false">IF(B55="","",(COUNTIF(E55:G55,"✓")+COUNTIF(I55:L55,"✓")+COUNTIF(I55,"-"))/7)</f>
        <v/>
      </c>
      <c r="N55" s="8" t="str">
        <f aca="false">IF(B55="","",IF(M55&gt;=1,"育成完了",IF($C$3-B55&gt;6,"期限切れ（記録だけでもOK）",IF($C$3&lt;B55,"予約中","Day"&amp;($C$3-B55+1)&amp;" 育成中"))))</f>
        <v/>
      </c>
    </row>
    <row r="56" customFormat="false" ht="15" hidden="false" customHeight="false" outlineLevel="0" collapsed="false">
      <c r="A56" s="9" t="n">
        <v>51</v>
      </c>
      <c r="B56" s="22"/>
      <c r="C56" s="23"/>
      <c r="D56" s="24"/>
      <c r="E56" s="23"/>
      <c r="F56" s="23"/>
      <c r="G56" s="23"/>
      <c r="H56" s="23"/>
      <c r="I56" s="23"/>
      <c r="J56" s="23"/>
      <c r="K56" s="23"/>
      <c r="L56" s="23"/>
      <c r="M56" s="25" t="str">
        <f aca="false">IF(B56="","",(COUNTIF(E56:G56,"✓")+COUNTIF(I56:L56,"✓")+COUNTIF(I56,"-"))/7)</f>
        <v/>
      </c>
      <c r="N56" s="8" t="str">
        <f aca="false">IF(B56="","",IF(M56&gt;=1,"育成完了",IF($C$3-B56&gt;6,"期限切れ（記録だけでもOK）",IF($C$3&lt;B56,"予約中","Day"&amp;($C$3-B56+1)&amp;" 育成中"))))</f>
        <v/>
      </c>
    </row>
    <row r="57" customFormat="false" ht="15" hidden="false" customHeight="false" outlineLevel="0" collapsed="false">
      <c r="A57" s="9" t="n">
        <v>52</v>
      </c>
      <c r="B57" s="22"/>
      <c r="C57" s="23"/>
      <c r="D57" s="24"/>
      <c r="E57" s="23"/>
      <c r="F57" s="23"/>
      <c r="G57" s="23"/>
      <c r="H57" s="23"/>
      <c r="I57" s="23"/>
      <c r="J57" s="23"/>
      <c r="K57" s="23"/>
      <c r="L57" s="23"/>
      <c r="M57" s="25" t="str">
        <f aca="false">IF(B57="","",(COUNTIF(E57:G57,"✓")+COUNTIF(I57:L57,"✓")+COUNTIF(I57,"-"))/7)</f>
        <v/>
      </c>
      <c r="N57" s="8" t="str">
        <f aca="false">IF(B57="","",IF(M57&gt;=1,"育成完了",IF($C$3-B57&gt;6,"期限切れ（記録だけでもOK）",IF($C$3&lt;B57,"予約中","Day"&amp;($C$3-B57+1)&amp;" 育成中"))))</f>
        <v/>
      </c>
    </row>
    <row r="58" customFormat="false" ht="15" hidden="false" customHeight="false" outlineLevel="0" collapsed="false">
      <c r="A58" s="9" t="n">
        <v>53</v>
      </c>
      <c r="B58" s="22"/>
      <c r="C58" s="23"/>
      <c r="D58" s="24"/>
      <c r="E58" s="23"/>
      <c r="F58" s="23"/>
      <c r="G58" s="23"/>
      <c r="H58" s="23"/>
      <c r="I58" s="23"/>
      <c r="J58" s="23"/>
      <c r="K58" s="23"/>
      <c r="L58" s="23"/>
      <c r="M58" s="25" t="str">
        <f aca="false">IF(B58="","",(COUNTIF(E58:G58,"✓")+COUNTIF(I58:L58,"✓")+COUNTIF(I58,"-"))/7)</f>
        <v/>
      </c>
      <c r="N58" s="8" t="str">
        <f aca="false">IF(B58="","",IF(M58&gt;=1,"育成完了",IF($C$3-B58&gt;6,"期限切れ（記録だけでもOK）",IF($C$3&lt;B58,"予約中","Day"&amp;($C$3-B58+1)&amp;" 育成中"))))</f>
        <v/>
      </c>
    </row>
    <row r="59" customFormat="false" ht="15" hidden="false" customHeight="false" outlineLevel="0" collapsed="false">
      <c r="A59" s="9" t="n">
        <v>54</v>
      </c>
      <c r="B59" s="22"/>
      <c r="C59" s="23"/>
      <c r="D59" s="24"/>
      <c r="E59" s="23"/>
      <c r="F59" s="23"/>
      <c r="G59" s="23"/>
      <c r="H59" s="23"/>
      <c r="I59" s="23"/>
      <c r="J59" s="23"/>
      <c r="K59" s="23"/>
      <c r="L59" s="23"/>
      <c r="M59" s="25" t="str">
        <f aca="false">IF(B59="","",(COUNTIF(E59:G59,"✓")+COUNTIF(I59:L59,"✓")+COUNTIF(I59,"-"))/7)</f>
        <v/>
      </c>
      <c r="N59" s="8" t="str">
        <f aca="false">IF(B59="","",IF(M59&gt;=1,"育成完了",IF($C$3-B59&gt;6,"期限切れ（記録だけでもOK）",IF($C$3&lt;B59,"予約中","Day"&amp;($C$3-B59+1)&amp;" 育成中"))))</f>
        <v/>
      </c>
    </row>
    <row r="60" customFormat="false" ht="15" hidden="false" customHeight="false" outlineLevel="0" collapsed="false">
      <c r="A60" s="9" t="n">
        <v>55</v>
      </c>
      <c r="B60" s="22"/>
      <c r="C60" s="23"/>
      <c r="D60" s="24"/>
      <c r="E60" s="23"/>
      <c r="F60" s="23"/>
      <c r="G60" s="23"/>
      <c r="H60" s="23"/>
      <c r="I60" s="23"/>
      <c r="J60" s="23"/>
      <c r="K60" s="23"/>
      <c r="L60" s="23"/>
      <c r="M60" s="25" t="str">
        <f aca="false">IF(B60="","",(COUNTIF(E60:G60,"✓")+COUNTIF(I60:L60,"✓")+COUNTIF(I60,"-"))/7)</f>
        <v/>
      </c>
      <c r="N60" s="8" t="str">
        <f aca="false">IF(B60="","",IF(M60&gt;=1,"育成完了",IF($C$3-B60&gt;6,"期限切れ（記録だけでもOK）",IF($C$3&lt;B60,"予約中","Day"&amp;($C$3-B60+1)&amp;" 育成中"))))</f>
        <v/>
      </c>
    </row>
    <row r="61" customFormat="false" ht="15" hidden="false" customHeight="false" outlineLevel="0" collapsed="false">
      <c r="A61" s="9" t="n">
        <v>56</v>
      </c>
      <c r="B61" s="22"/>
      <c r="C61" s="23"/>
      <c r="D61" s="24"/>
      <c r="E61" s="23"/>
      <c r="F61" s="23"/>
      <c r="G61" s="23"/>
      <c r="H61" s="23"/>
      <c r="I61" s="23"/>
      <c r="J61" s="23"/>
      <c r="K61" s="23"/>
      <c r="L61" s="23"/>
      <c r="M61" s="25" t="str">
        <f aca="false">IF(B61="","",(COUNTIF(E61:G61,"✓")+COUNTIF(I61:L61,"✓")+COUNTIF(I61,"-"))/7)</f>
        <v/>
      </c>
      <c r="N61" s="8" t="str">
        <f aca="false">IF(B61="","",IF(M61&gt;=1,"育成完了",IF($C$3-B61&gt;6,"期限切れ（記録だけでもOK）",IF($C$3&lt;B61,"予約中","Day"&amp;($C$3-B61+1)&amp;" 育成中"))))</f>
        <v/>
      </c>
    </row>
    <row r="62" customFormat="false" ht="15" hidden="false" customHeight="false" outlineLevel="0" collapsed="false">
      <c r="A62" s="9" t="n">
        <v>57</v>
      </c>
      <c r="B62" s="22"/>
      <c r="C62" s="23"/>
      <c r="D62" s="24"/>
      <c r="E62" s="23"/>
      <c r="F62" s="23"/>
      <c r="G62" s="23"/>
      <c r="H62" s="23"/>
      <c r="I62" s="23"/>
      <c r="J62" s="23"/>
      <c r="K62" s="23"/>
      <c r="L62" s="23"/>
      <c r="M62" s="25" t="str">
        <f aca="false">IF(B62="","",(COUNTIF(E62:G62,"✓")+COUNTIF(I62:L62,"✓")+COUNTIF(I62,"-"))/7)</f>
        <v/>
      </c>
      <c r="N62" s="8" t="str">
        <f aca="false">IF(B62="","",IF(M62&gt;=1,"育成完了",IF($C$3-B62&gt;6,"期限切れ（記録だけでもOK）",IF($C$3&lt;B62,"予約中","Day"&amp;($C$3-B62+1)&amp;" 育成中"))))</f>
        <v/>
      </c>
    </row>
    <row r="63" customFormat="false" ht="15" hidden="false" customHeight="false" outlineLevel="0" collapsed="false">
      <c r="A63" s="9" t="n">
        <v>58</v>
      </c>
      <c r="B63" s="22"/>
      <c r="C63" s="23"/>
      <c r="D63" s="24"/>
      <c r="E63" s="23"/>
      <c r="F63" s="23"/>
      <c r="G63" s="23"/>
      <c r="H63" s="23"/>
      <c r="I63" s="23"/>
      <c r="J63" s="23"/>
      <c r="K63" s="23"/>
      <c r="L63" s="23"/>
      <c r="M63" s="25" t="str">
        <f aca="false">IF(B63="","",(COUNTIF(E63:G63,"✓")+COUNTIF(I63:L63,"✓")+COUNTIF(I63,"-"))/7)</f>
        <v/>
      </c>
      <c r="N63" s="8" t="str">
        <f aca="false">IF(B63="","",IF(M63&gt;=1,"育成完了",IF($C$3-B63&gt;6,"期限切れ（記録だけでもOK）",IF($C$3&lt;B63,"予約中","Day"&amp;($C$3-B63+1)&amp;" 育成中"))))</f>
        <v/>
      </c>
    </row>
    <row r="64" customFormat="false" ht="15" hidden="false" customHeight="false" outlineLevel="0" collapsed="false">
      <c r="A64" s="9" t="n">
        <v>59</v>
      </c>
      <c r="B64" s="22"/>
      <c r="C64" s="23"/>
      <c r="D64" s="24"/>
      <c r="E64" s="23"/>
      <c r="F64" s="23"/>
      <c r="G64" s="23"/>
      <c r="H64" s="23"/>
      <c r="I64" s="23"/>
      <c r="J64" s="23"/>
      <c r="K64" s="23"/>
      <c r="L64" s="23"/>
      <c r="M64" s="25" t="str">
        <f aca="false">IF(B64="","",(COUNTIF(E64:G64,"✓")+COUNTIF(I64:L64,"✓")+COUNTIF(I64,"-"))/7)</f>
        <v/>
      </c>
      <c r="N64" s="8" t="str">
        <f aca="false">IF(B64="","",IF(M64&gt;=1,"育成完了",IF($C$3-B64&gt;6,"期限切れ（記録だけでもOK）",IF($C$3&lt;B64,"予約中","Day"&amp;($C$3-B64+1)&amp;" 育成中"))))</f>
        <v/>
      </c>
    </row>
    <row r="65" customFormat="false" ht="15" hidden="false" customHeight="false" outlineLevel="0" collapsed="false">
      <c r="A65" s="9" t="n">
        <v>60</v>
      </c>
      <c r="B65" s="22"/>
      <c r="C65" s="23"/>
      <c r="D65" s="24"/>
      <c r="E65" s="23"/>
      <c r="F65" s="23"/>
      <c r="G65" s="23"/>
      <c r="H65" s="23"/>
      <c r="I65" s="23"/>
      <c r="J65" s="23"/>
      <c r="K65" s="23"/>
      <c r="L65" s="23"/>
      <c r="M65" s="25" t="str">
        <f aca="false">IF(B65="","",(COUNTIF(E65:G65,"✓")+COUNTIF(I65:L65,"✓")+COUNTIF(I65,"-"))/7)</f>
        <v/>
      </c>
      <c r="N65" s="8" t="str">
        <f aca="false">IF(B65="","",IF(M65&gt;=1,"育成完了",IF($C$3-B65&gt;6,"期限切れ（記録だけでもOK）",IF($C$3&lt;B65,"予約中","Day"&amp;($C$3-B65+1)&amp;" 育成中"))))</f>
        <v/>
      </c>
    </row>
    <row r="66" customFormat="false" ht="15" hidden="false" customHeight="false" outlineLevel="0" collapsed="false">
      <c r="A66" s="9" t="n">
        <v>61</v>
      </c>
      <c r="B66" s="22"/>
      <c r="C66" s="23"/>
      <c r="D66" s="24"/>
      <c r="E66" s="23"/>
      <c r="F66" s="23"/>
      <c r="G66" s="23"/>
      <c r="H66" s="23"/>
      <c r="I66" s="23"/>
      <c r="J66" s="23"/>
      <c r="K66" s="23"/>
      <c r="L66" s="23"/>
      <c r="M66" s="25" t="str">
        <f aca="false">IF(B66="","",(COUNTIF(E66:G66,"✓")+COUNTIF(I66:L66,"✓")+COUNTIF(I66,"-"))/7)</f>
        <v/>
      </c>
      <c r="N66" s="8" t="str">
        <f aca="false">IF(B66="","",IF(M66&gt;=1,"育成完了",IF($C$3-B66&gt;6,"期限切れ（記録だけでもOK）",IF($C$3&lt;B66,"予約中","Day"&amp;($C$3-B66+1)&amp;" 育成中"))))</f>
        <v/>
      </c>
    </row>
    <row r="67" customFormat="false" ht="15" hidden="false" customHeight="false" outlineLevel="0" collapsed="false">
      <c r="A67" s="9" t="n">
        <v>62</v>
      </c>
      <c r="B67" s="22"/>
      <c r="C67" s="23"/>
      <c r="D67" s="24"/>
      <c r="E67" s="23"/>
      <c r="F67" s="23"/>
      <c r="G67" s="23"/>
      <c r="H67" s="23"/>
      <c r="I67" s="23"/>
      <c r="J67" s="23"/>
      <c r="K67" s="23"/>
      <c r="L67" s="23"/>
      <c r="M67" s="25" t="str">
        <f aca="false">IF(B67="","",(COUNTIF(E67:G67,"✓")+COUNTIF(I67:L67,"✓")+COUNTIF(I67,"-"))/7)</f>
        <v/>
      </c>
      <c r="N67" s="8" t="str">
        <f aca="false">IF(B67="","",IF(M67&gt;=1,"育成完了",IF($C$3-B67&gt;6,"期限切れ（記録だけでもOK）",IF($C$3&lt;B67,"予約中","Day"&amp;($C$3-B67+1)&amp;" 育成中"))))</f>
        <v/>
      </c>
    </row>
    <row r="68" customFormat="false" ht="15" hidden="false" customHeight="false" outlineLevel="0" collapsed="false">
      <c r="A68" s="9" t="n">
        <v>63</v>
      </c>
      <c r="B68" s="22"/>
      <c r="C68" s="23"/>
      <c r="D68" s="24"/>
      <c r="E68" s="23"/>
      <c r="F68" s="23"/>
      <c r="G68" s="23"/>
      <c r="H68" s="23"/>
      <c r="I68" s="23"/>
      <c r="J68" s="23"/>
      <c r="K68" s="23"/>
      <c r="L68" s="23"/>
      <c r="M68" s="25" t="str">
        <f aca="false">IF(B68="","",(COUNTIF(E68:G68,"✓")+COUNTIF(I68:L68,"✓")+COUNTIF(I68,"-"))/7)</f>
        <v/>
      </c>
      <c r="N68" s="8" t="str">
        <f aca="false">IF(B68="","",IF(M68&gt;=1,"育成完了",IF($C$3-B68&gt;6,"期限切れ（記録だけでもOK）",IF($C$3&lt;B68,"予約中","Day"&amp;($C$3-B68+1)&amp;" 育成中"))))</f>
        <v/>
      </c>
    </row>
    <row r="69" customFormat="false" ht="15" hidden="false" customHeight="false" outlineLevel="0" collapsed="false">
      <c r="A69" s="9" t="n">
        <v>64</v>
      </c>
      <c r="B69" s="22"/>
      <c r="C69" s="23"/>
      <c r="D69" s="24"/>
      <c r="E69" s="23"/>
      <c r="F69" s="23"/>
      <c r="G69" s="23"/>
      <c r="H69" s="23"/>
      <c r="I69" s="23"/>
      <c r="J69" s="23"/>
      <c r="K69" s="23"/>
      <c r="L69" s="23"/>
      <c r="M69" s="25" t="str">
        <f aca="false">IF(B69="","",(COUNTIF(E69:G69,"✓")+COUNTIF(I69:L69,"✓")+COUNTIF(I69,"-"))/7)</f>
        <v/>
      </c>
      <c r="N69" s="8" t="str">
        <f aca="false">IF(B69="","",IF(M69&gt;=1,"育成完了",IF($C$3-B69&gt;6,"期限切れ（記録だけでもOK）",IF($C$3&lt;B69,"予約中","Day"&amp;($C$3-B69+1)&amp;" 育成中"))))</f>
        <v/>
      </c>
    </row>
    <row r="70" customFormat="false" ht="15" hidden="false" customHeight="false" outlineLevel="0" collapsed="false">
      <c r="A70" s="9" t="n">
        <v>65</v>
      </c>
      <c r="B70" s="22"/>
      <c r="C70" s="23"/>
      <c r="D70" s="24"/>
      <c r="E70" s="23"/>
      <c r="F70" s="23"/>
      <c r="G70" s="23"/>
      <c r="H70" s="23"/>
      <c r="I70" s="23"/>
      <c r="J70" s="23"/>
      <c r="K70" s="23"/>
      <c r="L70" s="23"/>
      <c r="M70" s="25" t="str">
        <f aca="false">IF(B70="","",(COUNTIF(E70:G70,"✓")+COUNTIF(I70:L70,"✓")+COUNTIF(I70,"-"))/7)</f>
        <v/>
      </c>
      <c r="N70" s="8" t="str">
        <f aca="false">IF(B70="","",IF(M70&gt;=1,"育成完了",IF($C$3-B70&gt;6,"期限切れ（記録だけでもOK）",IF($C$3&lt;B70,"予約中","Day"&amp;($C$3-B70+1)&amp;" 育成中"))))</f>
        <v/>
      </c>
    </row>
    <row r="71" customFormat="false" ht="15" hidden="false" customHeight="false" outlineLevel="0" collapsed="false">
      <c r="A71" s="9" t="n">
        <v>66</v>
      </c>
      <c r="B71" s="22"/>
      <c r="C71" s="23"/>
      <c r="D71" s="24"/>
      <c r="E71" s="23"/>
      <c r="F71" s="23"/>
      <c r="G71" s="23"/>
      <c r="H71" s="23"/>
      <c r="I71" s="23"/>
      <c r="J71" s="23"/>
      <c r="K71" s="23"/>
      <c r="L71" s="23"/>
      <c r="M71" s="25" t="str">
        <f aca="false">IF(B71="","",(COUNTIF(E71:G71,"✓")+COUNTIF(I71:L71,"✓")+COUNTIF(I71,"-"))/7)</f>
        <v/>
      </c>
      <c r="N71" s="8" t="str">
        <f aca="false">IF(B71="","",IF(M71&gt;=1,"育成完了",IF($C$3-B71&gt;6,"期限切れ（記録だけでもOK）",IF($C$3&lt;B71,"予約中","Day"&amp;($C$3-B71+1)&amp;" 育成中"))))</f>
        <v/>
      </c>
    </row>
    <row r="72" customFormat="false" ht="15" hidden="false" customHeight="false" outlineLevel="0" collapsed="false">
      <c r="A72" s="9" t="n">
        <v>67</v>
      </c>
      <c r="B72" s="22"/>
      <c r="C72" s="23"/>
      <c r="D72" s="24"/>
      <c r="E72" s="23"/>
      <c r="F72" s="23"/>
      <c r="G72" s="23"/>
      <c r="H72" s="23"/>
      <c r="I72" s="23"/>
      <c r="J72" s="23"/>
      <c r="K72" s="23"/>
      <c r="L72" s="23"/>
      <c r="M72" s="25" t="str">
        <f aca="false">IF(B72="","",(COUNTIF(E72:G72,"✓")+COUNTIF(I72:L72,"✓")+COUNTIF(I72,"-"))/7)</f>
        <v/>
      </c>
      <c r="N72" s="8" t="str">
        <f aca="false">IF(B72="","",IF(M72&gt;=1,"育成完了",IF($C$3-B72&gt;6,"期限切れ（記録だけでもOK）",IF($C$3&lt;B72,"予約中","Day"&amp;($C$3-B72+1)&amp;" 育成中"))))</f>
        <v/>
      </c>
    </row>
    <row r="73" customFormat="false" ht="15" hidden="false" customHeight="false" outlineLevel="0" collapsed="false">
      <c r="A73" s="9" t="n">
        <v>68</v>
      </c>
      <c r="B73" s="22"/>
      <c r="C73" s="23"/>
      <c r="D73" s="24"/>
      <c r="E73" s="23"/>
      <c r="F73" s="23"/>
      <c r="G73" s="23"/>
      <c r="H73" s="23"/>
      <c r="I73" s="23"/>
      <c r="J73" s="23"/>
      <c r="K73" s="23"/>
      <c r="L73" s="23"/>
      <c r="M73" s="25" t="str">
        <f aca="false">IF(B73="","",(COUNTIF(E73:G73,"✓")+COUNTIF(I73:L73,"✓")+COUNTIF(I73,"-"))/7)</f>
        <v/>
      </c>
      <c r="N73" s="8" t="str">
        <f aca="false">IF(B73="","",IF(M73&gt;=1,"育成完了",IF($C$3-B73&gt;6,"期限切れ（記録だけでもOK）",IF($C$3&lt;B73,"予約中","Day"&amp;($C$3-B73+1)&amp;" 育成中"))))</f>
        <v/>
      </c>
    </row>
    <row r="74" customFormat="false" ht="15" hidden="false" customHeight="false" outlineLevel="0" collapsed="false">
      <c r="A74" s="9" t="n">
        <v>69</v>
      </c>
      <c r="B74" s="22"/>
      <c r="C74" s="23"/>
      <c r="D74" s="24"/>
      <c r="E74" s="23"/>
      <c r="F74" s="23"/>
      <c r="G74" s="23"/>
      <c r="H74" s="23"/>
      <c r="I74" s="23"/>
      <c r="J74" s="23"/>
      <c r="K74" s="23"/>
      <c r="L74" s="23"/>
      <c r="M74" s="25" t="str">
        <f aca="false">IF(B74="","",(COUNTIF(E74:G74,"✓")+COUNTIF(I74:L74,"✓")+COUNTIF(I74,"-"))/7)</f>
        <v/>
      </c>
      <c r="N74" s="8" t="str">
        <f aca="false">IF(B74="","",IF(M74&gt;=1,"育成完了",IF($C$3-B74&gt;6,"期限切れ（記録だけでもOK）",IF($C$3&lt;B74,"予約中","Day"&amp;($C$3-B74+1)&amp;" 育成中"))))</f>
        <v/>
      </c>
    </row>
    <row r="75" customFormat="false" ht="15" hidden="false" customHeight="false" outlineLevel="0" collapsed="false">
      <c r="A75" s="9" t="n">
        <v>70</v>
      </c>
      <c r="B75" s="22"/>
      <c r="C75" s="23"/>
      <c r="D75" s="24"/>
      <c r="E75" s="23"/>
      <c r="F75" s="23"/>
      <c r="G75" s="23"/>
      <c r="H75" s="23"/>
      <c r="I75" s="23"/>
      <c r="J75" s="23"/>
      <c r="K75" s="23"/>
      <c r="L75" s="23"/>
      <c r="M75" s="25" t="str">
        <f aca="false">IF(B75="","",(COUNTIF(E75:G75,"✓")+COUNTIF(I75:L75,"✓")+COUNTIF(I75,"-"))/7)</f>
        <v/>
      </c>
      <c r="N75" s="8" t="str">
        <f aca="false">IF(B75="","",IF(M75&gt;=1,"育成完了",IF($C$3-B75&gt;6,"期限切れ（記録だけでもOK）",IF($C$3&lt;B75,"予約中","Day"&amp;($C$3-B75+1)&amp;" 育成中"))))</f>
        <v/>
      </c>
    </row>
    <row r="76" customFormat="false" ht="15" hidden="false" customHeight="false" outlineLevel="0" collapsed="false">
      <c r="A76" s="9" t="n">
        <v>71</v>
      </c>
      <c r="B76" s="22"/>
      <c r="C76" s="23"/>
      <c r="D76" s="24"/>
      <c r="E76" s="23"/>
      <c r="F76" s="23"/>
      <c r="G76" s="23"/>
      <c r="H76" s="23"/>
      <c r="I76" s="23"/>
      <c r="J76" s="23"/>
      <c r="K76" s="23"/>
      <c r="L76" s="23"/>
      <c r="M76" s="25" t="str">
        <f aca="false">IF(B76="","",(COUNTIF(E76:G76,"✓")+COUNTIF(I76:L76,"✓")+COUNTIF(I76,"-"))/7)</f>
        <v/>
      </c>
      <c r="N76" s="8" t="str">
        <f aca="false">IF(B76="","",IF(M76&gt;=1,"育成完了",IF($C$3-B76&gt;6,"期限切れ（記録だけでもOK）",IF($C$3&lt;B76,"予約中","Day"&amp;($C$3-B76+1)&amp;" 育成中"))))</f>
        <v/>
      </c>
    </row>
    <row r="77" customFormat="false" ht="15" hidden="false" customHeight="false" outlineLevel="0" collapsed="false">
      <c r="A77" s="9" t="n">
        <v>72</v>
      </c>
      <c r="B77" s="22"/>
      <c r="C77" s="23"/>
      <c r="D77" s="24"/>
      <c r="E77" s="23"/>
      <c r="F77" s="23"/>
      <c r="G77" s="23"/>
      <c r="H77" s="23"/>
      <c r="I77" s="23"/>
      <c r="J77" s="23"/>
      <c r="K77" s="23"/>
      <c r="L77" s="23"/>
      <c r="M77" s="25" t="str">
        <f aca="false">IF(B77="","",(COUNTIF(E77:G77,"✓")+COUNTIF(I77:L77,"✓")+COUNTIF(I77,"-"))/7)</f>
        <v/>
      </c>
      <c r="N77" s="8" t="str">
        <f aca="false">IF(B77="","",IF(M77&gt;=1,"育成完了",IF($C$3-B77&gt;6,"期限切れ（記録だけでもOK）",IF($C$3&lt;B77,"予約中","Day"&amp;($C$3-B77+1)&amp;" 育成中"))))</f>
        <v/>
      </c>
    </row>
    <row r="78" customFormat="false" ht="15" hidden="false" customHeight="false" outlineLevel="0" collapsed="false">
      <c r="A78" s="9" t="n">
        <v>73</v>
      </c>
      <c r="B78" s="22"/>
      <c r="C78" s="23"/>
      <c r="D78" s="24"/>
      <c r="E78" s="23"/>
      <c r="F78" s="23"/>
      <c r="G78" s="23"/>
      <c r="H78" s="23"/>
      <c r="I78" s="23"/>
      <c r="J78" s="23"/>
      <c r="K78" s="23"/>
      <c r="L78" s="23"/>
      <c r="M78" s="25" t="str">
        <f aca="false">IF(B78="","",(COUNTIF(E78:G78,"✓")+COUNTIF(I78:L78,"✓")+COUNTIF(I78,"-"))/7)</f>
        <v/>
      </c>
      <c r="N78" s="8" t="str">
        <f aca="false">IF(B78="","",IF(M78&gt;=1,"育成完了",IF($C$3-B78&gt;6,"期限切れ（記録だけでもOK）",IF($C$3&lt;B78,"予約中","Day"&amp;($C$3-B78+1)&amp;" 育成中"))))</f>
        <v/>
      </c>
    </row>
    <row r="79" customFormat="false" ht="15" hidden="false" customHeight="false" outlineLevel="0" collapsed="false">
      <c r="A79" s="9" t="n">
        <v>74</v>
      </c>
      <c r="B79" s="22"/>
      <c r="C79" s="23"/>
      <c r="D79" s="24"/>
      <c r="E79" s="23"/>
      <c r="F79" s="23"/>
      <c r="G79" s="23"/>
      <c r="H79" s="23"/>
      <c r="I79" s="23"/>
      <c r="J79" s="23"/>
      <c r="K79" s="23"/>
      <c r="L79" s="23"/>
      <c r="M79" s="25" t="str">
        <f aca="false">IF(B79="","",(COUNTIF(E79:G79,"✓")+COUNTIF(I79:L79,"✓")+COUNTIF(I79,"-"))/7)</f>
        <v/>
      </c>
      <c r="N79" s="8" t="str">
        <f aca="false">IF(B79="","",IF(M79&gt;=1,"育成完了",IF($C$3-B79&gt;6,"期限切れ（記録だけでもOK）",IF($C$3&lt;B79,"予約中","Day"&amp;($C$3-B79+1)&amp;" 育成中"))))</f>
        <v/>
      </c>
    </row>
    <row r="80" customFormat="false" ht="15" hidden="false" customHeight="false" outlineLevel="0" collapsed="false">
      <c r="A80" s="9" t="n">
        <v>75</v>
      </c>
      <c r="B80" s="22"/>
      <c r="C80" s="23"/>
      <c r="D80" s="24"/>
      <c r="E80" s="23"/>
      <c r="F80" s="23"/>
      <c r="G80" s="23"/>
      <c r="H80" s="23"/>
      <c r="I80" s="23"/>
      <c r="J80" s="23"/>
      <c r="K80" s="23"/>
      <c r="L80" s="23"/>
      <c r="M80" s="25" t="str">
        <f aca="false">IF(B80="","",(COUNTIF(E80:G80,"✓")+COUNTIF(I80:L80,"✓")+COUNTIF(I80,"-"))/7)</f>
        <v/>
      </c>
      <c r="N80" s="8" t="str">
        <f aca="false">IF(B80="","",IF(M80&gt;=1,"育成完了",IF($C$3-B80&gt;6,"期限切れ（記録だけでもOK）",IF($C$3&lt;B80,"予約中","Day"&amp;($C$3-B80+1)&amp;" 育成中"))))</f>
        <v/>
      </c>
    </row>
    <row r="81" customFormat="false" ht="15" hidden="false" customHeight="false" outlineLevel="0" collapsed="false">
      <c r="A81" s="9" t="n">
        <v>76</v>
      </c>
      <c r="B81" s="22"/>
      <c r="C81" s="23"/>
      <c r="D81" s="24"/>
      <c r="E81" s="23"/>
      <c r="F81" s="23"/>
      <c r="G81" s="23"/>
      <c r="H81" s="23"/>
      <c r="I81" s="23"/>
      <c r="J81" s="23"/>
      <c r="K81" s="23"/>
      <c r="L81" s="23"/>
      <c r="M81" s="25" t="str">
        <f aca="false">IF(B81="","",(COUNTIF(E81:G81,"✓")+COUNTIF(I81:L81,"✓")+COUNTIF(I81,"-"))/7)</f>
        <v/>
      </c>
      <c r="N81" s="8" t="str">
        <f aca="false">IF(B81="","",IF(M81&gt;=1,"育成完了",IF($C$3-B81&gt;6,"期限切れ（記録だけでもOK）",IF($C$3&lt;B81,"予約中","Day"&amp;($C$3-B81+1)&amp;" 育成中"))))</f>
        <v/>
      </c>
    </row>
    <row r="82" customFormat="false" ht="15" hidden="false" customHeight="false" outlineLevel="0" collapsed="false">
      <c r="A82" s="9" t="n">
        <v>77</v>
      </c>
      <c r="B82" s="22"/>
      <c r="C82" s="23"/>
      <c r="D82" s="24"/>
      <c r="E82" s="23"/>
      <c r="F82" s="23"/>
      <c r="G82" s="23"/>
      <c r="H82" s="23"/>
      <c r="I82" s="23"/>
      <c r="J82" s="23"/>
      <c r="K82" s="23"/>
      <c r="L82" s="23"/>
      <c r="M82" s="25" t="str">
        <f aca="false">IF(B82="","",(COUNTIF(E82:G82,"✓")+COUNTIF(I82:L82,"✓")+COUNTIF(I82,"-"))/7)</f>
        <v/>
      </c>
      <c r="N82" s="8" t="str">
        <f aca="false">IF(B82="","",IF(M82&gt;=1,"育成完了",IF($C$3-B82&gt;6,"期限切れ（記録だけでもOK）",IF($C$3&lt;B82,"予約中","Day"&amp;($C$3-B82+1)&amp;" 育成中"))))</f>
        <v/>
      </c>
    </row>
    <row r="83" customFormat="false" ht="15" hidden="false" customHeight="false" outlineLevel="0" collapsed="false">
      <c r="A83" s="9" t="n">
        <v>78</v>
      </c>
      <c r="B83" s="22"/>
      <c r="C83" s="23"/>
      <c r="D83" s="24"/>
      <c r="E83" s="23"/>
      <c r="F83" s="23"/>
      <c r="G83" s="23"/>
      <c r="H83" s="23"/>
      <c r="I83" s="23"/>
      <c r="J83" s="23"/>
      <c r="K83" s="23"/>
      <c r="L83" s="23"/>
      <c r="M83" s="25" t="str">
        <f aca="false">IF(B83="","",(COUNTIF(E83:G83,"✓")+COUNTIF(I83:L83,"✓")+COUNTIF(I83,"-"))/7)</f>
        <v/>
      </c>
      <c r="N83" s="8" t="str">
        <f aca="false">IF(B83="","",IF(M83&gt;=1,"育成完了",IF($C$3-B83&gt;6,"期限切れ（記録だけでもOK）",IF($C$3&lt;B83,"予約中","Day"&amp;($C$3-B83+1)&amp;" 育成中"))))</f>
        <v/>
      </c>
    </row>
    <row r="84" customFormat="false" ht="15" hidden="false" customHeight="false" outlineLevel="0" collapsed="false">
      <c r="A84" s="9" t="n">
        <v>79</v>
      </c>
      <c r="B84" s="22"/>
      <c r="C84" s="23"/>
      <c r="D84" s="24"/>
      <c r="E84" s="23"/>
      <c r="F84" s="23"/>
      <c r="G84" s="23"/>
      <c r="H84" s="23"/>
      <c r="I84" s="23"/>
      <c r="J84" s="23"/>
      <c r="K84" s="23"/>
      <c r="L84" s="23"/>
      <c r="M84" s="25" t="str">
        <f aca="false">IF(B84="","",(COUNTIF(E84:G84,"✓")+COUNTIF(I84:L84,"✓")+COUNTIF(I84,"-"))/7)</f>
        <v/>
      </c>
      <c r="N84" s="8" t="str">
        <f aca="false">IF(B84="","",IF(M84&gt;=1,"育成完了",IF($C$3-B84&gt;6,"期限切れ（記録だけでもOK）",IF($C$3&lt;B84,"予約中","Day"&amp;($C$3-B84+1)&amp;" 育成中"))))</f>
        <v/>
      </c>
    </row>
    <row r="85" customFormat="false" ht="15" hidden="false" customHeight="false" outlineLevel="0" collapsed="false">
      <c r="A85" s="9" t="n">
        <v>80</v>
      </c>
      <c r="B85" s="22"/>
      <c r="C85" s="23"/>
      <c r="D85" s="24"/>
      <c r="E85" s="23"/>
      <c r="F85" s="23"/>
      <c r="G85" s="23"/>
      <c r="H85" s="23"/>
      <c r="I85" s="23"/>
      <c r="J85" s="23"/>
      <c r="K85" s="23"/>
      <c r="L85" s="23"/>
      <c r="M85" s="25" t="str">
        <f aca="false">IF(B85="","",(COUNTIF(E85:G85,"✓")+COUNTIF(I85:L85,"✓")+COUNTIF(I85,"-"))/7)</f>
        <v/>
      </c>
      <c r="N85" s="8" t="str">
        <f aca="false">IF(B85="","",IF(M85&gt;=1,"育成完了",IF($C$3-B85&gt;6,"期限切れ（記録だけでもOK）",IF($C$3&lt;B85,"予約中","Day"&amp;($C$3-B85+1)&amp;" 育成中"))))</f>
        <v/>
      </c>
    </row>
    <row r="86" customFormat="false" ht="15" hidden="false" customHeight="false" outlineLevel="0" collapsed="false">
      <c r="A86" s="9" t="n">
        <v>81</v>
      </c>
      <c r="B86" s="22"/>
      <c r="C86" s="23"/>
      <c r="D86" s="24"/>
      <c r="E86" s="23"/>
      <c r="F86" s="23"/>
      <c r="G86" s="23"/>
      <c r="H86" s="23"/>
      <c r="I86" s="23"/>
      <c r="J86" s="23"/>
      <c r="K86" s="23"/>
      <c r="L86" s="23"/>
      <c r="M86" s="25" t="str">
        <f aca="false">IF(B86="","",(COUNTIF(E86:G86,"✓")+COUNTIF(I86:L86,"✓")+COUNTIF(I86,"-"))/7)</f>
        <v/>
      </c>
      <c r="N86" s="8" t="str">
        <f aca="false">IF(B86="","",IF(M86&gt;=1,"育成完了",IF($C$3-B86&gt;6,"期限切れ（記録だけでもOK）",IF($C$3&lt;B86,"予約中","Day"&amp;($C$3-B86+1)&amp;" 育成中"))))</f>
        <v/>
      </c>
    </row>
    <row r="87" customFormat="false" ht="15" hidden="false" customHeight="false" outlineLevel="0" collapsed="false">
      <c r="A87" s="9" t="n">
        <v>82</v>
      </c>
      <c r="B87" s="22"/>
      <c r="C87" s="23"/>
      <c r="D87" s="24"/>
      <c r="E87" s="23"/>
      <c r="F87" s="23"/>
      <c r="G87" s="23"/>
      <c r="H87" s="23"/>
      <c r="I87" s="23"/>
      <c r="J87" s="23"/>
      <c r="K87" s="23"/>
      <c r="L87" s="23"/>
      <c r="M87" s="25" t="str">
        <f aca="false">IF(B87="","",(COUNTIF(E87:G87,"✓")+COUNTIF(I87:L87,"✓")+COUNTIF(I87,"-"))/7)</f>
        <v/>
      </c>
      <c r="N87" s="8" t="str">
        <f aca="false">IF(B87="","",IF(M87&gt;=1,"育成完了",IF($C$3-B87&gt;6,"期限切れ（記録だけでもOK）",IF($C$3&lt;B87,"予約中","Day"&amp;($C$3-B87+1)&amp;" 育成中"))))</f>
        <v/>
      </c>
    </row>
    <row r="88" customFormat="false" ht="15" hidden="false" customHeight="false" outlineLevel="0" collapsed="false">
      <c r="A88" s="9" t="n">
        <v>83</v>
      </c>
      <c r="B88" s="22"/>
      <c r="C88" s="23"/>
      <c r="D88" s="24"/>
      <c r="E88" s="23"/>
      <c r="F88" s="23"/>
      <c r="G88" s="23"/>
      <c r="H88" s="23"/>
      <c r="I88" s="23"/>
      <c r="J88" s="23"/>
      <c r="K88" s="23"/>
      <c r="L88" s="23"/>
      <c r="M88" s="25" t="str">
        <f aca="false">IF(B88="","",(COUNTIF(E88:G88,"✓")+COUNTIF(I88:L88,"✓")+COUNTIF(I88,"-"))/7)</f>
        <v/>
      </c>
      <c r="N88" s="8" t="str">
        <f aca="false">IF(B88="","",IF(M88&gt;=1,"育成完了",IF($C$3-B88&gt;6,"期限切れ（記録だけでもOK）",IF($C$3&lt;B88,"予約中","Day"&amp;($C$3-B88+1)&amp;" 育成中"))))</f>
        <v/>
      </c>
    </row>
    <row r="89" customFormat="false" ht="15" hidden="false" customHeight="false" outlineLevel="0" collapsed="false">
      <c r="A89" s="9" t="n">
        <v>84</v>
      </c>
      <c r="B89" s="22"/>
      <c r="C89" s="23"/>
      <c r="D89" s="24"/>
      <c r="E89" s="23"/>
      <c r="F89" s="23"/>
      <c r="G89" s="23"/>
      <c r="H89" s="23"/>
      <c r="I89" s="23"/>
      <c r="J89" s="23"/>
      <c r="K89" s="23"/>
      <c r="L89" s="23"/>
      <c r="M89" s="25" t="str">
        <f aca="false">IF(B89="","",(COUNTIF(E89:G89,"✓")+COUNTIF(I89:L89,"✓")+COUNTIF(I89,"-"))/7)</f>
        <v/>
      </c>
      <c r="N89" s="8" t="str">
        <f aca="false">IF(B89="","",IF(M89&gt;=1,"育成完了",IF($C$3-B89&gt;6,"期限切れ（記録だけでもOK）",IF($C$3&lt;B89,"予約中","Day"&amp;($C$3-B89+1)&amp;" 育成中"))))</f>
        <v/>
      </c>
    </row>
    <row r="90" customFormat="false" ht="15" hidden="false" customHeight="false" outlineLevel="0" collapsed="false">
      <c r="A90" s="9" t="n">
        <v>85</v>
      </c>
      <c r="B90" s="22"/>
      <c r="C90" s="23"/>
      <c r="D90" s="24"/>
      <c r="E90" s="23"/>
      <c r="F90" s="23"/>
      <c r="G90" s="23"/>
      <c r="H90" s="23"/>
      <c r="I90" s="23"/>
      <c r="J90" s="23"/>
      <c r="K90" s="23"/>
      <c r="L90" s="23"/>
      <c r="M90" s="25" t="str">
        <f aca="false">IF(B90="","",(COUNTIF(E90:G90,"✓")+COUNTIF(I90:L90,"✓")+COUNTIF(I90,"-"))/7)</f>
        <v/>
      </c>
      <c r="N90" s="8" t="str">
        <f aca="false">IF(B90="","",IF(M90&gt;=1,"育成完了",IF($C$3-B90&gt;6,"期限切れ（記録だけでもOK）",IF($C$3&lt;B90,"予約中","Day"&amp;($C$3-B90+1)&amp;" 育成中"))))</f>
        <v/>
      </c>
    </row>
    <row r="91" customFormat="false" ht="15" hidden="false" customHeight="false" outlineLevel="0" collapsed="false">
      <c r="A91" s="9" t="n">
        <v>86</v>
      </c>
      <c r="B91" s="22"/>
      <c r="C91" s="23"/>
      <c r="D91" s="24"/>
      <c r="E91" s="23"/>
      <c r="F91" s="23"/>
      <c r="G91" s="23"/>
      <c r="H91" s="23"/>
      <c r="I91" s="23"/>
      <c r="J91" s="23"/>
      <c r="K91" s="23"/>
      <c r="L91" s="23"/>
      <c r="M91" s="25" t="str">
        <f aca="false">IF(B91="","",(COUNTIF(E91:G91,"✓")+COUNTIF(I91:L91,"✓")+COUNTIF(I91,"-"))/7)</f>
        <v/>
      </c>
      <c r="N91" s="8" t="str">
        <f aca="false">IF(B91="","",IF(M91&gt;=1,"育成完了",IF($C$3-B91&gt;6,"期限切れ（記録だけでもOK）",IF($C$3&lt;B91,"予約中","Day"&amp;($C$3-B91+1)&amp;" 育成中"))))</f>
        <v/>
      </c>
    </row>
    <row r="92" customFormat="false" ht="15" hidden="false" customHeight="false" outlineLevel="0" collapsed="false">
      <c r="A92" s="9" t="n">
        <v>87</v>
      </c>
      <c r="B92" s="22"/>
      <c r="C92" s="23"/>
      <c r="D92" s="24"/>
      <c r="E92" s="23"/>
      <c r="F92" s="23"/>
      <c r="G92" s="23"/>
      <c r="H92" s="23"/>
      <c r="I92" s="23"/>
      <c r="J92" s="23"/>
      <c r="K92" s="23"/>
      <c r="L92" s="23"/>
      <c r="M92" s="25" t="str">
        <f aca="false">IF(B92="","",(COUNTIF(E92:G92,"✓")+COUNTIF(I92:L92,"✓")+COUNTIF(I92,"-"))/7)</f>
        <v/>
      </c>
      <c r="N92" s="8" t="str">
        <f aca="false">IF(B92="","",IF(M92&gt;=1,"育成完了",IF($C$3-B92&gt;6,"期限切れ（記録だけでもOK）",IF($C$3&lt;B92,"予約中","Day"&amp;($C$3-B92+1)&amp;" 育成中"))))</f>
        <v/>
      </c>
    </row>
    <row r="93" customFormat="false" ht="15" hidden="false" customHeight="false" outlineLevel="0" collapsed="false">
      <c r="A93" s="9" t="n">
        <v>88</v>
      </c>
      <c r="B93" s="22"/>
      <c r="C93" s="23"/>
      <c r="D93" s="24"/>
      <c r="E93" s="23"/>
      <c r="F93" s="23"/>
      <c r="G93" s="23"/>
      <c r="H93" s="23"/>
      <c r="I93" s="23"/>
      <c r="J93" s="23"/>
      <c r="K93" s="23"/>
      <c r="L93" s="23"/>
      <c r="M93" s="25" t="str">
        <f aca="false">IF(B93="","",(COUNTIF(E93:G93,"✓")+COUNTIF(I93:L93,"✓")+COUNTIF(I93,"-"))/7)</f>
        <v/>
      </c>
      <c r="N93" s="8" t="str">
        <f aca="false">IF(B93="","",IF(M93&gt;=1,"育成完了",IF($C$3-B93&gt;6,"期限切れ（記録だけでもOK）",IF($C$3&lt;B93,"予約中","Day"&amp;($C$3-B93+1)&amp;" 育成中"))))</f>
        <v/>
      </c>
    </row>
    <row r="94" customFormat="false" ht="15" hidden="false" customHeight="false" outlineLevel="0" collapsed="false">
      <c r="A94" s="9" t="n">
        <v>89</v>
      </c>
      <c r="B94" s="22"/>
      <c r="C94" s="23"/>
      <c r="D94" s="24"/>
      <c r="E94" s="23"/>
      <c r="F94" s="23"/>
      <c r="G94" s="23"/>
      <c r="H94" s="23"/>
      <c r="I94" s="23"/>
      <c r="J94" s="23"/>
      <c r="K94" s="23"/>
      <c r="L94" s="23"/>
      <c r="M94" s="25" t="str">
        <f aca="false">IF(B94="","",(COUNTIF(E94:G94,"✓")+COUNTIF(I94:L94,"✓")+COUNTIF(I94,"-"))/7)</f>
        <v/>
      </c>
      <c r="N94" s="8" t="str">
        <f aca="false">IF(B94="","",IF(M94&gt;=1,"育成完了",IF($C$3-B94&gt;6,"期限切れ（記録だけでもOK）",IF($C$3&lt;B94,"予約中","Day"&amp;($C$3-B94+1)&amp;" 育成中"))))</f>
        <v/>
      </c>
    </row>
    <row r="95" customFormat="false" ht="15" hidden="false" customHeight="false" outlineLevel="0" collapsed="false">
      <c r="A95" s="9" t="n">
        <v>90</v>
      </c>
      <c r="B95" s="22"/>
      <c r="C95" s="23"/>
      <c r="D95" s="24"/>
      <c r="E95" s="23"/>
      <c r="F95" s="23"/>
      <c r="G95" s="23"/>
      <c r="H95" s="23"/>
      <c r="I95" s="23"/>
      <c r="J95" s="23"/>
      <c r="K95" s="23"/>
      <c r="L95" s="23"/>
      <c r="M95" s="25" t="str">
        <f aca="false">IF(B95="","",(COUNTIF(E95:G95,"✓")+COUNTIF(I95:L95,"✓")+COUNTIF(I95,"-"))/7)</f>
        <v/>
      </c>
      <c r="N95" s="8" t="str">
        <f aca="false">IF(B95="","",IF(M95&gt;=1,"育成完了",IF($C$3-B95&gt;6,"期限切れ（記録だけでもOK）",IF($C$3&lt;B95,"予約中","Day"&amp;($C$3-B95+1)&amp;" 育成中"))))</f>
        <v/>
      </c>
    </row>
    <row r="96" customFormat="false" ht="15" hidden="false" customHeight="false" outlineLevel="0" collapsed="false">
      <c r="A96" s="9" t="n">
        <v>91</v>
      </c>
      <c r="B96" s="22"/>
      <c r="C96" s="23"/>
      <c r="D96" s="24"/>
      <c r="E96" s="23"/>
      <c r="F96" s="23"/>
      <c r="G96" s="23"/>
      <c r="H96" s="23"/>
      <c r="I96" s="23"/>
      <c r="J96" s="23"/>
      <c r="K96" s="23"/>
      <c r="L96" s="23"/>
      <c r="M96" s="25" t="str">
        <f aca="false">IF(B96="","",(COUNTIF(E96:G96,"✓")+COUNTIF(I96:L96,"✓")+COUNTIF(I96,"-"))/7)</f>
        <v/>
      </c>
      <c r="N96" s="8" t="str">
        <f aca="false">IF(B96="","",IF(M96&gt;=1,"育成完了",IF($C$3-B96&gt;6,"期限切れ（記録だけでもOK）",IF($C$3&lt;B96,"予約中","Day"&amp;($C$3-B96+1)&amp;" 育成中"))))</f>
        <v/>
      </c>
    </row>
    <row r="97" customFormat="false" ht="15" hidden="false" customHeight="false" outlineLevel="0" collapsed="false">
      <c r="A97" s="9" t="n">
        <v>92</v>
      </c>
      <c r="B97" s="22"/>
      <c r="C97" s="23"/>
      <c r="D97" s="24"/>
      <c r="E97" s="23"/>
      <c r="F97" s="23"/>
      <c r="G97" s="23"/>
      <c r="H97" s="23"/>
      <c r="I97" s="23"/>
      <c r="J97" s="23"/>
      <c r="K97" s="23"/>
      <c r="L97" s="23"/>
      <c r="M97" s="25" t="str">
        <f aca="false">IF(B97="","",(COUNTIF(E97:G97,"✓")+COUNTIF(I97:L97,"✓")+COUNTIF(I97,"-"))/7)</f>
        <v/>
      </c>
      <c r="N97" s="8" t="str">
        <f aca="false">IF(B97="","",IF(M97&gt;=1,"育成完了",IF($C$3-B97&gt;6,"期限切れ（記録だけでもOK）",IF($C$3&lt;B97,"予約中","Day"&amp;($C$3-B97+1)&amp;" 育成中"))))</f>
        <v/>
      </c>
    </row>
    <row r="98" customFormat="false" ht="15" hidden="false" customHeight="false" outlineLevel="0" collapsed="false">
      <c r="A98" s="9" t="n">
        <v>93</v>
      </c>
      <c r="B98" s="22"/>
      <c r="C98" s="23"/>
      <c r="D98" s="24"/>
      <c r="E98" s="23"/>
      <c r="F98" s="23"/>
      <c r="G98" s="23"/>
      <c r="H98" s="23"/>
      <c r="I98" s="23"/>
      <c r="J98" s="23"/>
      <c r="K98" s="23"/>
      <c r="L98" s="23"/>
      <c r="M98" s="25" t="str">
        <f aca="false">IF(B98="","",(COUNTIF(E98:G98,"✓")+COUNTIF(I98:L98,"✓")+COUNTIF(I98,"-"))/7)</f>
        <v/>
      </c>
      <c r="N98" s="8" t="str">
        <f aca="false">IF(B98="","",IF(M98&gt;=1,"育成完了",IF($C$3-B98&gt;6,"期限切れ（記録だけでもOK）",IF($C$3&lt;B98,"予約中","Day"&amp;($C$3-B98+1)&amp;" 育成中"))))</f>
        <v/>
      </c>
    </row>
    <row r="99" customFormat="false" ht="15" hidden="false" customHeight="false" outlineLevel="0" collapsed="false">
      <c r="A99" s="9" t="n">
        <v>94</v>
      </c>
      <c r="B99" s="22"/>
      <c r="C99" s="23"/>
      <c r="D99" s="24"/>
      <c r="E99" s="23"/>
      <c r="F99" s="23"/>
      <c r="G99" s="23"/>
      <c r="H99" s="23"/>
      <c r="I99" s="23"/>
      <c r="J99" s="23"/>
      <c r="K99" s="23"/>
      <c r="L99" s="23"/>
      <c r="M99" s="25" t="str">
        <f aca="false">IF(B99="","",(COUNTIF(E99:G99,"✓")+COUNTIF(I99:L99,"✓")+COUNTIF(I99,"-"))/7)</f>
        <v/>
      </c>
      <c r="N99" s="8" t="str">
        <f aca="false">IF(B99="","",IF(M99&gt;=1,"育成完了",IF($C$3-B99&gt;6,"期限切れ（記録だけでもOK）",IF($C$3&lt;B99,"予約中","Day"&amp;($C$3-B99+1)&amp;" 育成中"))))</f>
        <v/>
      </c>
    </row>
    <row r="100" customFormat="false" ht="15" hidden="false" customHeight="false" outlineLevel="0" collapsed="false">
      <c r="A100" s="9" t="n">
        <v>95</v>
      </c>
      <c r="B100" s="22"/>
      <c r="C100" s="23"/>
      <c r="D100" s="24"/>
      <c r="E100" s="23"/>
      <c r="F100" s="23"/>
      <c r="G100" s="23"/>
      <c r="H100" s="23"/>
      <c r="I100" s="23"/>
      <c r="J100" s="23"/>
      <c r="K100" s="23"/>
      <c r="L100" s="23"/>
      <c r="M100" s="25" t="str">
        <f aca="false">IF(B100="","",(COUNTIF(E100:G100,"✓")+COUNTIF(I100:L100,"✓")+COUNTIF(I100,"-"))/7)</f>
        <v/>
      </c>
      <c r="N100" s="8" t="str">
        <f aca="false">IF(B100="","",IF(M100&gt;=1,"育成完了",IF($C$3-B100&gt;6,"期限切れ（記録だけでもOK）",IF($C$3&lt;B100,"予約中","Day"&amp;($C$3-B100+1)&amp;" 育成中"))))</f>
        <v/>
      </c>
    </row>
    <row r="101" customFormat="false" ht="15" hidden="false" customHeight="false" outlineLevel="0" collapsed="false">
      <c r="A101" s="9" t="n">
        <v>96</v>
      </c>
      <c r="B101" s="22"/>
      <c r="C101" s="23"/>
      <c r="D101" s="24"/>
      <c r="E101" s="23"/>
      <c r="F101" s="23"/>
      <c r="G101" s="23"/>
      <c r="H101" s="23"/>
      <c r="I101" s="23"/>
      <c r="J101" s="23"/>
      <c r="K101" s="23"/>
      <c r="L101" s="23"/>
      <c r="M101" s="25" t="str">
        <f aca="false">IF(B101="","",(COUNTIF(E101:G101,"✓")+COUNTIF(I101:L101,"✓")+COUNTIF(I101,"-"))/7)</f>
        <v/>
      </c>
      <c r="N101" s="8" t="str">
        <f aca="false">IF(B101="","",IF(M101&gt;=1,"育成完了",IF($C$3-B101&gt;6,"期限切れ（記録だけでもOK）",IF($C$3&lt;B101,"予約中","Day"&amp;($C$3-B101+1)&amp;" 育成中"))))</f>
        <v/>
      </c>
    </row>
    <row r="102" customFormat="false" ht="15" hidden="false" customHeight="false" outlineLevel="0" collapsed="false">
      <c r="A102" s="9" t="n">
        <v>97</v>
      </c>
      <c r="B102" s="22"/>
      <c r="C102" s="23"/>
      <c r="D102" s="24"/>
      <c r="E102" s="23"/>
      <c r="F102" s="23"/>
      <c r="G102" s="23"/>
      <c r="H102" s="23"/>
      <c r="I102" s="23"/>
      <c r="J102" s="23"/>
      <c r="K102" s="23"/>
      <c r="L102" s="23"/>
      <c r="M102" s="25" t="str">
        <f aca="false">IF(B102="","",(COUNTIF(E102:G102,"✓")+COUNTIF(I102:L102,"✓")+COUNTIF(I102,"-"))/7)</f>
        <v/>
      </c>
      <c r="N102" s="8" t="str">
        <f aca="false">IF(B102="","",IF(M102&gt;=1,"育成完了",IF($C$3-B102&gt;6,"期限切れ（記録だけでもOK）",IF($C$3&lt;B102,"予約中","Day"&amp;($C$3-B102+1)&amp;" 育成中"))))</f>
        <v/>
      </c>
    </row>
    <row r="103" customFormat="false" ht="15" hidden="false" customHeight="false" outlineLevel="0" collapsed="false">
      <c r="A103" s="9" t="n">
        <v>98</v>
      </c>
      <c r="B103" s="22"/>
      <c r="C103" s="23"/>
      <c r="D103" s="24"/>
      <c r="E103" s="23"/>
      <c r="F103" s="23"/>
      <c r="G103" s="23"/>
      <c r="H103" s="23"/>
      <c r="I103" s="23"/>
      <c r="J103" s="23"/>
      <c r="K103" s="23"/>
      <c r="L103" s="23"/>
      <c r="M103" s="25" t="str">
        <f aca="false">IF(B103="","",(COUNTIF(E103:G103,"✓")+COUNTIF(I103:L103,"✓")+COUNTIF(I103,"-"))/7)</f>
        <v/>
      </c>
      <c r="N103" s="8" t="str">
        <f aca="false">IF(B103="","",IF(M103&gt;=1,"育成完了",IF($C$3-B103&gt;6,"期限切れ（記録だけでもOK）",IF($C$3&lt;B103,"予約中","Day"&amp;($C$3-B103+1)&amp;" 育成中"))))</f>
        <v/>
      </c>
    </row>
    <row r="104" customFormat="false" ht="15" hidden="false" customHeight="false" outlineLevel="0" collapsed="false">
      <c r="A104" s="9" t="n">
        <v>99</v>
      </c>
      <c r="B104" s="22"/>
      <c r="C104" s="23"/>
      <c r="D104" s="24"/>
      <c r="E104" s="23"/>
      <c r="F104" s="23"/>
      <c r="G104" s="23"/>
      <c r="H104" s="23"/>
      <c r="I104" s="23"/>
      <c r="J104" s="23"/>
      <c r="K104" s="23"/>
      <c r="L104" s="23"/>
      <c r="M104" s="25" t="str">
        <f aca="false">IF(B104="","",(COUNTIF(E104:G104,"✓")+COUNTIF(I104:L104,"✓")+COUNTIF(I104,"-"))/7)</f>
        <v/>
      </c>
      <c r="N104" s="8" t="str">
        <f aca="false">IF(B104="","",IF(M104&gt;=1,"育成完了",IF($C$3-B104&gt;6,"期限切れ（記録だけでもOK）",IF($C$3&lt;B104,"予約中","Day"&amp;($C$3-B104+1)&amp;" 育成中"))))</f>
        <v/>
      </c>
    </row>
    <row r="105" customFormat="false" ht="15" hidden="false" customHeight="false" outlineLevel="0" collapsed="false">
      <c r="A105" s="9" t="n">
        <v>100</v>
      </c>
      <c r="B105" s="22"/>
      <c r="C105" s="23"/>
      <c r="D105" s="24"/>
      <c r="E105" s="23"/>
      <c r="F105" s="23"/>
      <c r="G105" s="23"/>
      <c r="H105" s="23"/>
      <c r="I105" s="23"/>
      <c r="J105" s="23"/>
      <c r="K105" s="23"/>
      <c r="L105" s="23"/>
      <c r="M105" s="25" t="str">
        <f aca="false">IF(B105="","",(COUNTIF(E105:G105,"✓")+COUNTIF(I105:L105,"✓")+COUNTIF(I105,"-"))/7)</f>
        <v/>
      </c>
      <c r="N105" s="8" t="str">
        <f aca="false">IF(B105="","",IF(M105&gt;=1,"育成完了",IF($C$3-B105&gt;6,"期限切れ（記録だけでもOK）",IF($C$3&lt;B105,"予約中","Day"&amp;($C$3-B105+1)&amp;" 育成中"))))</f>
        <v/>
      </c>
    </row>
    <row r="106" customFormat="false" ht="15" hidden="false" customHeight="false" outlineLevel="0" collapsed="false">
      <c r="A106" s="9" t="n">
        <v>101</v>
      </c>
      <c r="B106" s="22"/>
      <c r="C106" s="23"/>
      <c r="D106" s="24"/>
      <c r="E106" s="23"/>
      <c r="F106" s="23"/>
      <c r="G106" s="23"/>
      <c r="H106" s="23"/>
      <c r="I106" s="23"/>
      <c r="J106" s="23"/>
      <c r="K106" s="23"/>
      <c r="L106" s="23"/>
      <c r="M106" s="25" t="str">
        <f aca="false">IF(B106="","",(COUNTIF(E106:G106,"✓")+COUNTIF(I106:L106,"✓")+COUNTIF(I106,"-"))/7)</f>
        <v/>
      </c>
      <c r="N106" s="8" t="str">
        <f aca="false">IF(B106="","",IF(M106&gt;=1,"育成完了",IF($C$3-B106&gt;6,"期限切れ（記録だけでもOK）",IF($C$3&lt;B106,"予約中","Day"&amp;($C$3-B106+1)&amp;" 育成中"))))</f>
        <v/>
      </c>
    </row>
    <row r="107" customFormat="false" ht="15" hidden="false" customHeight="false" outlineLevel="0" collapsed="false">
      <c r="A107" s="9" t="n">
        <v>102</v>
      </c>
      <c r="B107" s="22"/>
      <c r="C107" s="23"/>
      <c r="D107" s="24"/>
      <c r="E107" s="23"/>
      <c r="F107" s="23"/>
      <c r="G107" s="23"/>
      <c r="H107" s="23"/>
      <c r="I107" s="23"/>
      <c r="J107" s="23"/>
      <c r="K107" s="23"/>
      <c r="L107" s="23"/>
      <c r="M107" s="25" t="str">
        <f aca="false">IF(B107="","",(COUNTIF(E107:G107,"✓")+COUNTIF(I107:L107,"✓")+COUNTIF(I107,"-"))/7)</f>
        <v/>
      </c>
      <c r="N107" s="8" t="str">
        <f aca="false">IF(B107="","",IF(M107&gt;=1,"育成完了",IF($C$3-B107&gt;6,"期限切れ（記録だけでもOK）",IF($C$3&lt;B107,"予約中","Day"&amp;($C$3-B107+1)&amp;" 育成中"))))</f>
        <v/>
      </c>
    </row>
    <row r="108" customFormat="false" ht="15" hidden="false" customHeight="false" outlineLevel="0" collapsed="false">
      <c r="A108" s="9" t="n">
        <v>103</v>
      </c>
      <c r="B108" s="22"/>
      <c r="C108" s="23"/>
      <c r="D108" s="24"/>
      <c r="E108" s="23"/>
      <c r="F108" s="23"/>
      <c r="G108" s="23"/>
      <c r="H108" s="23"/>
      <c r="I108" s="23"/>
      <c r="J108" s="23"/>
      <c r="K108" s="23"/>
      <c r="L108" s="23"/>
      <c r="M108" s="25" t="str">
        <f aca="false">IF(B108="","",(COUNTIF(E108:G108,"✓")+COUNTIF(I108:L108,"✓")+COUNTIF(I108,"-"))/7)</f>
        <v/>
      </c>
      <c r="N108" s="8" t="str">
        <f aca="false">IF(B108="","",IF(M108&gt;=1,"育成完了",IF($C$3-B108&gt;6,"期限切れ（記録だけでもOK）",IF($C$3&lt;B108,"予約中","Day"&amp;($C$3-B108+1)&amp;" 育成中"))))</f>
        <v/>
      </c>
    </row>
    <row r="109" customFormat="false" ht="15" hidden="false" customHeight="false" outlineLevel="0" collapsed="false">
      <c r="A109" s="9" t="n">
        <v>104</v>
      </c>
      <c r="B109" s="22"/>
      <c r="C109" s="23"/>
      <c r="D109" s="24"/>
      <c r="E109" s="23"/>
      <c r="F109" s="23"/>
      <c r="G109" s="23"/>
      <c r="H109" s="23"/>
      <c r="I109" s="23"/>
      <c r="J109" s="23"/>
      <c r="K109" s="23"/>
      <c r="L109" s="23"/>
      <c r="M109" s="25" t="str">
        <f aca="false">IF(B109="","",(COUNTIF(E109:G109,"✓")+COUNTIF(I109:L109,"✓")+COUNTIF(I109,"-"))/7)</f>
        <v/>
      </c>
      <c r="N109" s="8" t="str">
        <f aca="false">IF(B109="","",IF(M109&gt;=1,"育成完了",IF($C$3-B109&gt;6,"期限切れ（記録だけでもOK）",IF($C$3&lt;B109,"予約中","Day"&amp;($C$3-B109+1)&amp;" 育成中"))))</f>
        <v/>
      </c>
    </row>
    <row r="110" customFormat="false" ht="15" hidden="false" customHeight="false" outlineLevel="0" collapsed="false">
      <c r="A110" s="9" t="n">
        <v>105</v>
      </c>
      <c r="B110" s="22"/>
      <c r="C110" s="23"/>
      <c r="D110" s="24"/>
      <c r="E110" s="23"/>
      <c r="F110" s="23"/>
      <c r="G110" s="23"/>
      <c r="H110" s="23"/>
      <c r="I110" s="23"/>
      <c r="J110" s="23"/>
      <c r="K110" s="23"/>
      <c r="L110" s="23"/>
      <c r="M110" s="25" t="str">
        <f aca="false">IF(B110="","",(COUNTIF(E110:G110,"✓")+COUNTIF(I110:L110,"✓")+COUNTIF(I110,"-"))/7)</f>
        <v/>
      </c>
      <c r="N110" s="8" t="str">
        <f aca="false">IF(B110="","",IF(M110&gt;=1,"育成完了",IF($C$3-B110&gt;6,"期限切れ（記録だけでもOK）",IF($C$3&lt;B110,"予約中","Day"&amp;($C$3-B110+1)&amp;" 育成中"))))</f>
        <v/>
      </c>
    </row>
    <row r="111" customFormat="false" ht="15" hidden="false" customHeight="false" outlineLevel="0" collapsed="false">
      <c r="A111" s="9" t="n">
        <v>106</v>
      </c>
      <c r="B111" s="22"/>
      <c r="C111" s="23"/>
      <c r="D111" s="24"/>
      <c r="E111" s="23"/>
      <c r="F111" s="23"/>
      <c r="G111" s="23"/>
      <c r="H111" s="23"/>
      <c r="I111" s="23"/>
      <c r="J111" s="23"/>
      <c r="K111" s="23"/>
      <c r="L111" s="23"/>
      <c r="M111" s="25" t="str">
        <f aca="false">IF(B111="","",(COUNTIF(E111:G111,"✓")+COUNTIF(I111:L111,"✓")+COUNTIF(I111,"-"))/7)</f>
        <v/>
      </c>
      <c r="N111" s="8" t="str">
        <f aca="false">IF(B111="","",IF(M111&gt;=1,"育成完了",IF($C$3-B111&gt;6,"期限切れ（記録だけでもOK）",IF($C$3&lt;B111,"予約中","Day"&amp;($C$3-B111+1)&amp;" 育成中"))))</f>
        <v/>
      </c>
    </row>
    <row r="112" customFormat="false" ht="15" hidden="false" customHeight="false" outlineLevel="0" collapsed="false">
      <c r="A112" s="9" t="n">
        <v>107</v>
      </c>
      <c r="B112" s="22"/>
      <c r="C112" s="23"/>
      <c r="D112" s="24"/>
      <c r="E112" s="23"/>
      <c r="F112" s="23"/>
      <c r="G112" s="23"/>
      <c r="H112" s="23"/>
      <c r="I112" s="23"/>
      <c r="J112" s="23"/>
      <c r="K112" s="23"/>
      <c r="L112" s="23"/>
      <c r="M112" s="25" t="str">
        <f aca="false">IF(B112="","",(COUNTIF(E112:G112,"✓")+COUNTIF(I112:L112,"✓")+COUNTIF(I112,"-"))/7)</f>
        <v/>
      </c>
      <c r="N112" s="8" t="str">
        <f aca="false">IF(B112="","",IF(M112&gt;=1,"育成完了",IF($C$3-B112&gt;6,"期限切れ（記録だけでもOK）",IF($C$3&lt;B112,"予約中","Day"&amp;($C$3-B112+1)&amp;" 育成中"))))</f>
        <v/>
      </c>
    </row>
    <row r="113" customFormat="false" ht="15" hidden="false" customHeight="false" outlineLevel="0" collapsed="false">
      <c r="A113" s="9" t="n">
        <v>108</v>
      </c>
      <c r="B113" s="22"/>
      <c r="C113" s="23"/>
      <c r="D113" s="24"/>
      <c r="E113" s="23"/>
      <c r="F113" s="23"/>
      <c r="G113" s="23"/>
      <c r="H113" s="23"/>
      <c r="I113" s="23"/>
      <c r="J113" s="23"/>
      <c r="K113" s="23"/>
      <c r="L113" s="23"/>
      <c r="M113" s="25" t="str">
        <f aca="false">IF(B113="","",(COUNTIF(E113:G113,"✓")+COUNTIF(I113:L113,"✓")+COUNTIF(I113,"-"))/7)</f>
        <v/>
      </c>
      <c r="N113" s="8" t="str">
        <f aca="false">IF(B113="","",IF(M113&gt;=1,"育成完了",IF($C$3-B113&gt;6,"期限切れ（記録だけでもOK）",IF($C$3&lt;B113,"予約中","Day"&amp;($C$3-B113+1)&amp;" 育成中"))))</f>
        <v/>
      </c>
    </row>
    <row r="114" customFormat="false" ht="15" hidden="false" customHeight="false" outlineLevel="0" collapsed="false">
      <c r="A114" s="9" t="n">
        <v>109</v>
      </c>
      <c r="B114" s="22"/>
      <c r="C114" s="23"/>
      <c r="D114" s="24"/>
      <c r="E114" s="23"/>
      <c r="F114" s="23"/>
      <c r="G114" s="23"/>
      <c r="H114" s="23"/>
      <c r="I114" s="23"/>
      <c r="J114" s="23"/>
      <c r="K114" s="23"/>
      <c r="L114" s="23"/>
      <c r="M114" s="25" t="str">
        <f aca="false">IF(B114="","",(COUNTIF(E114:G114,"✓")+COUNTIF(I114:L114,"✓")+COUNTIF(I114,"-"))/7)</f>
        <v/>
      </c>
      <c r="N114" s="8" t="str">
        <f aca="false">IF(B114="","",IF(M114&gt;=1,"育成完了",IF($C$3-B114&gt;6,"期限切れ（記録だけでもOK）",IF($C$3&lt;B114,"予約中","Day"&amp;($C$3-B114+1)&amp;" 育成中"))))</f>
        <v/>
      </c>
    </row>
    <row r="115" customFormat="false" ht="15" hidden="false" customHeight="false" outlineLevel="0" collapsed="false">
      <c r="A115" s="9" t="n">
        <v>110</v>
      </c>
      <c r="B115" s="22"/>
      <c r="C115" s="23"/>
      <c r="D115" s="24"/>
      <c r="E115" s="23"/>
      <c r="F115" s="23"/>
      <c r="G115" s="23"/>
      <c r="H115" s="23"/>
      <c r="I115" s="23"/>
      <c r="J115" s="23"/>
      <c r="K115" s="23"/>
      <c r="L115" s="23"/>
      <c r="M115" s="25" t="str">
        <f aca="false">IF(B115="","",(COUNTIF(E115:G115,"✓")+COUNTIF(I115:L115,"✓")+COUNTIF(I115,"-"))/7)</f>
        <v/>
      </c>
      <c r="N115" s="8" t="str">
        <f aca="false">IF(B115="","",IF(M115&gt;=1,"育成完了",IF($C$3-B115&gt;6,"期限切れ（記録だけでもOK）",IF($C$3&lt;B115,"予約中","Day"&amp;($C$3-B115+1)&amp;" 育成中"))))</f>
        <v/>
      </c>
    </row>
    <row r="116" customFormat="false" ht="15" hidden="false" customHeight="false" outlineLevel="0" collapsed="false">
      <c r="A116" s="9" t="n">
        <v>111</v>
      </c>
      <c r="B116" s="22"/>
      <c r="C116" s="23"/>
      <c r="D116" s="24"/>
      <c r="E116" s="23"/>
      <c r="F116" s="23"/>
      <c r="G116" s="23"/>
      <c r="H116" s="23"/>
      <c r="I116" s="23"/>
      <c r="J116" s="23"/>
      <c r="K116" s="23"/>
      <c r="L116" s="23"/>
      <c r="M116" s="25" t="str">
        <f aca="false">IF(B116="","",(COUNTIF(E116:G116,"✓")+COUNTIF(I116:L116,"✓")+COUNTIF(I116,"-"))/7)</f>
        <v/>
      </c>
      <c r="N116" s="8" t="str">
        <f aca="false">IF(B116="","",IF(M116&gt;=1,"育成完了",IF($C$3-B116&gt;6,"期限切れ（記録だけでもOK）",IF($C$3&lt;B116,"予約中","Day"&amp;($C$3-B116+1)&amp;" 育成中"))))</f>
        <v/>
      </c>
    </row>
    <row r="117" customFormat="false" ht="15" hidden="false" customHeight="false" outlineLevel="0" collapsed="false">
      <c r="A117" s="9" t="n">
        <v>112</v>
      </c>
      <c r="B117" s="22"/>
      <c r="C117" s="23"/>
      <c r="D117" s="24"/>
      <c r="E117" s="23"/>
      <c r="F117" s="23"/>
      <c r="G117" s="23"/>
      <c r="H117" s="23"/>
      <c r="I117" s="23"/>
      <c r="J117" s="23"/>
      <c r="K117" s="23"/>
      <c r="L117" s="23"/>
      <c r="M117" s="25" t="str">
        <f aca="false">IF(B117="","",(COUNTIF(E117:G117,"✓")+COUNTIF(I117:L117,"✓")+COUNTIF(I117,"-"))/7)</f>
        <v/>
      </c>
      <c r="N117" s="8" t="str">
        <f aca="false">IF(B117="","",IF(M117&gt;=1,"育成完了",IF($C$3-B117&gt;6,"期限切れ（記録だけでもOK）",IF($C$3&lt;B117,"予約中","Day"&amp;($C$3-B117+1)&amp;" 育成中"))))</f>
        <v/>
      </c>
    </row>
    <row r="118" customFormat="false" ht="15" hidden="false" customHeight="false" outlineLevel="0" collapsed="false">
      <c r="A118" s="9" t="n">
        <v>113</v>
      </c>
      <c r="B118" s="22"/>
      <c r="C118" s="23"/>
      <c r="D118" s="24"/>
      <c r="E118" s="23"/>
      <c r="F118" s="23"/>
      <c r="G118" s="23"/>
      <c r="H118" s="23"/>
      <c r="I118" s="23"/>
      <c r="J118" s="23"/>
      <c r="K118" s="23"/>
      <c r="L118" s="23"/>
      <c r="M118" s="25" t="str">
        <f aca="false">IF(B118="","",(COUNTIF(E118:G118,"✓")+COUNTIF(I118:L118,"✓")+COUNTIF(I118,"-"))/7)</f>
        <v/>
      </c>
      <c r="N118" s="8" t="str">
        <f aca="false">IF(B118="","",IF(M118&gt;=1,"育成完了",IF($C$3-B118&gt;6,"期限切れ（記録だけでもOK）",IF($C$3&lt;B118,"予約中","Day"&amp;($C$3-B118+1)&amp;" 育成中"))))</f>
        <v/>
      </c>
    </row>
    <row r="119" customFormat="false" ht="15" hidden="false" customHeight="false" outlineLevel="0" collapsed="false">
      <c r="A119" s="9" t="n">
        <v>114</v>
      </c>
      <c r="B119" s="22"/>
      <c r="C119" s="23"/>
      <c r="D119" s="24"/>
      <c r="E119" s="23"/>
      <c r="F119" s="23"/>
      <c r="G119" s="23"/>
      <c r="H119" s="23"/>
      <c r="I119" s="23"/>
      <c r="J119" s="23"/>
      <c r="K119" s="23"/>
      <c r="L119" s="23"/>
      <c r="M119" s="25" t="str">
        <f aca="false">IF(B119="","",(COUNTIF(E119:G119,"✓")+COUNTIF(I119:L119,"✓")+COUNTIF(I119,"-"))/7)</f>
        <v/>
      </c>
      <c r="N119" s="8" t="str">
        <f aca="false">IF(B119="","",IF(M119&gt;=1,"育成完了",IF($C$3-B119&gt;6,"期限切れ（記録だけでもOK）",IF($C$3&lt;B119,"予約中","Day"&amp;($C$3-B119+1)&amp;" 育成中"))))</f>
        <v/>
      </c>
    </row>
    <row r="120" customFormat="false" ht="15" hidden="false" customHeight="false" outlineLevel="0" collapsed="false">
      <c r="A120" s="9" t="n">
        <v>115</v>
      </c>
      <c r="B120" s="22"/>
      <c r="C120" s="23"/>
      <c r="D120" s="24"/>
      <c r="E120" s="23"/>
      <c r="F120" s="23"/>
      <c r="G120" s="23"/>
      <c r="H120" s="23"/>
      <c r="I120" s="23"/>
      <c r="J120" s="23"/>
      <c r="K120" s="23"/>
      <c r="L120" s="23"/>
      <c r="M120" s="25" t="str">
        <f aca="false">IF(B120="","",(COUNTIF(E120:G120,"✓")+COUNTIF(I120:L120,"✓")+COUNTIF(I120,"-"))/7)</f>
        <v/>
      </c>
      <c r="N120" s="8" t="str">
        <f aca="false">IF(B120="","",IF(M120&gt;=1,"育成完了",IF($C$3-B120&gt;6,"期限切れ（記録だけでもOK）",IF($C$3&lt;B120,"予約中","Day"&amp;($C$3-B120+1)&amp;" 育成中"))))</f>
        <v/>
      </c>
    </row>
    <row r="121" customFormat="false" ht="15" hidden="false" customHeight="false" outlineLevel="0" collapsed="false">
      <c r="A121" s="9" t="n">
        <v>116</v>
      </c>
      <c r="B121" s="22"/>
      <c r="C121" s="23"/>
      <c r="D121" s="24"/>
      <c r="E121" s="23"/>
      <c r="F121" s="23"/>
      <c r="G121" s="23"/>
      <c r="H121" s="23"/>
      <c r="I121" s="23"/>
      <c r="J121" s="23"/>
      <c r="K121" s="23"/>
      <c r="L121" s="23"/>
      <c r="M121" s="25" t="str">
        <f aca="false">IF(B121="","",(COUNTIF(E121:G121,"✓")+COUNTIF(I121:L121,"✓")+COUNTIF(I121,"-"))/7)</f>
        <v/>
      </c>
      <c r="N121" s="8" t="str">
        <f aca="false">IF(B121="","",IF(M121&gt;=1,"育成完了",IF($C$3-B121&gt;6,"期限切れ（記録だけでもOK）",IF($C$3&lt;B121,"予約中","Day"&amp;($C$3-B121+1)&amp;" 育成中"))))</f>
        <v/>
      </c>
    </row>
    <row r="122" customFormat="false" ht="15" hidden="false" customHeight="false" outlineLevel="0" collapsed="false">
      <c r="A122" s="9" t="n">
        <v>117</v>
      </c>
      <c r="B122" s="22"/>
      <c r="C122" s="23"/>
      <c r="D122" s="24"/>
      <c r="E122" s="23"/>
      <c r="F122" s="23"/>
      <c r="G122" s="23"/>
      <c r="H122" s="23"/>
      <c r="I122" s="23"/>
      <c r="J122" s="23"/>
      <c r="K122" s="23"/>
      <c r="L122" s="23"/>
      <c r="M122" s="25" t="str">
        <f aca="false">IF(B122="","",(COUNTIF(E122:G122,"✓")+COUNTIF(I122:L122,"✓")+COUNTIF(I122,"-"))/7)</f>
        <v/>
      </c>
      <c r="N122" s="8" t="str">
        <f aca="false">IF(B122="","",IF(M122&gt;=1,"育成完了",IF($C$3-B122&gt;6,"期限切れ（記録だけでもOK）",IF($C$3&lt;B122,"予約中","Day"&amp;($C$3-B122+1)&amp;" 育成中"))))</f>
        <v/>
      </c>
    </row>
    <row r="123" customFormat="false" ht="15" hidden="false" customHeight="false" outlineLevel="0" collapsed="false">
      <c r="A123" s="9" t="n">
        <v>118</v>
      </c>
      <c r="B123" s="22"/>
      <c r="C123" s="23"/>
      <c r="D123" s="24"/>
      <c r="E123" s="23"/>
      <c r="F123" s="23"/>
      <c r="G123" s="23"/>
      <c r="H123" s="23"/>
      <c r="I123" s="23"/>
      <c r="J123" s="23"/>
      <c r="K123" s="23"/>
      <c r="L123" s="23"/>
      <c r="M123" s="25" t="str">
        <f aca="false">IF(B123="","",(COUNTIF(E123:G123,"✓")+COUNTIF(I123:L123,"✓")+COUNTIF(I123,"-"))/7)</f>
        <v/>
      </c>
      <c r="N123" s="8" t="str">
        <f aca="false">IF(B123="","",IF(M123&gt;=1,"育成完了",IF($C$3-B123&gt;6,"期限切れ（記録だけでもOK）",IF($C$3&lt;B123,"予約中","Day"&amp;($C$3-B123+1)&amp;" 育成中"))))</f>
        <v/>
      </c>
    </row>
    <row r="124" customFormat="false" ht="15" hidden="false" customHeight="false" outlineLevel="0" collapsed="false">
      <c r="A124" s="9" t="n">
        <v>119</v>
      </c>
      <c r="B124" s="22"/>
      <c r="C124" s="23"/>
      <c r="D124" s="24"/>
      <c r="E124" s="23"/>
      <c r="F124" s="23"/>
      <c r="G124" s="23"/>
      <c r="H124" s="23"/>
      <c r="I124" s="23"/>
      <c r="J124" s="23"/>
      <c r="K124" s="23"/>
      <c r="L124" s="23"/>
      <c r="M124" s="25" t="str">
        <f aca="false">IF(B124="","",(COUNTIF(E124:G124,"✓")+COUNTIF(I124:L124,"✓")+COUNTIF(I124,"-"))/7)</f>
        <v/>
      </c>
      <c r="N124" s="8" t="str">
        <f aca="false">IF(B124="","",IF(M124&gt;=1,"育成完了",IF($C$3-B124&gt;6,"期限切れ（記録だけでもOK）",IF($C$3&lt;B124,"予約中","Day"&amp;($C$3-B124+1)&amp;" 育成中"))))</f>
        <v/>
      </c>
    </row>
    <row r="125" customFormat="false" ht="15" hidden="false" customHeight="false" outlineLevel="0" collapsed="false">
      <c r="A125" s="9" t="n">
        <v>120</v>
      </c>
      <c r="B125" s="22"/>
      <c r="C125" s="23"/>
      <c r="D125" s="24"/>
      <c r="E125" s="23"/>
      <c r="F125" s="23"/>
      <c r="G125" s="23"/>
      <c r="H125" s="23"/>
      <c r="I125" s="23"/>
      <c r="J125" s="23"/>
      <c r="K125" s="23"/>
      <c r="L125" s="23"/>
      <c r="M125" s="25" t="str">
        <f aca="false">IF(B125="","",(COUNTIF(E125:G125,"✓")+COUNTIF(I125:L125,"✓")+COUNTIF(I125,"-"))/7)</f>
        <v/>
      </c>
      <c r="N125" s="8" t="str">
        <f aca="false">IF(B125="","",IF(M125&gt;=1,"育成完了",IF($C$3-B125&gt;6,"期限切れ（記録だけでもOK）",IF($C$3&lt;B125,"予約中","Day"&amp;($C$3-B125+1)&amp;" 育成中"))))</f>
        <v/>
      </c>
    </row>
    <row r="126" customFormat="false" ht="15" hidden="false" customHeight="false" outlineLevel="0" collapsed="false">
      <c r="A126" s="9" t="n">
        <v>121</v>
      </c>
      <c r="B126" s="22"/>
      <c r="C126" s="23"/>
      <c r="D126" s="24"/>
      <c r="E126" s="23"/>
      <c r="F126" s="23"/>
      <c r="G126" s="23"/>
      <c r="H126" s="23"/>
      <c r="I126" s="23"/>
      <c r="J126" s="23"/>
      <c r="K126" s="23"/>
      <c r="L126" s="23"/>
      <c r="M126" s="25" t="str">
        <f aca="false">IF(B126="","",(COUNTIF(E126:G126,"✓")+COUNTIF(I126:L126,"✓")+COUNTIF(I126,"-"))/7)</f>
        <v/>
      </c>
      <c r="N126" s="8" t="str">
        <f aca="false">IF(B126="","",IF(M126&gt;=1,"育成完了",IF($C$3-B126&gt;6,"期限切れ（記録だけでもOK）",IF($C$3&lt;B126,"予約中","Day"&amp;($C$3-B126+1)&amp;" 育成中"))))</f>
        <v/>
      </c>
    </row>
    <row r="127" customFormat="false" ht="15" hidden="false" customHeight="false" outlineLevel="0" collapsed="false">
      <c r="A127" s="9" t="n">
        <v>122</v>
      </c>
      <c r="B127" s="22"/>
      <c r="C127" s="23"/>
      <c r="D127" s="24"/>
      <c r="E127" s="23"/>
      <c r="F127" s="23"/>
      <c r="G127" s="23"/>
      <c r="H127" s="23"/>
      <c r="I127" s="23"/>
      <c r="J127" s="23"/>
      <c r="K127" s="23"/>
      <c r="L127" s="23"/>
      <c r="M127" s="25" t="str">
        <f aca="false">IF(B127="","",(COUNTIF(E127:G127,"✓")+COUNTIF(I127:L127,"✓")+COUNTIF(I127,"-"))/7)</f>
        <v/>
      </c>
      <c r="N127" s="8" t="str">
        <f aca="false">IF(B127="","",IF(M127&gt;=1,"育成完了",IF($C$3-B127&gt;6,"期限切れ（記録だけでもOK）",IF($C$3&lt;B127,"予約中","Day"&amp;($C$3-B127+1)&amp;" 育成中"))))</f>
        <v/>
      </c>
    </row>
    <row r="128" customFormat="false" ht="15" hidden="false" customHeight="false" outlineLevel="0" collapsed="false">
      <c r="A128" s="9" t="n">
        <v>123</v>
      </c>
      <c r="B128" s="22"/>
      <c r="C128" s="23"/>
      <c r="D128" s="24"/>
      <c r="E128" s="23"/>
      <c r="F128" s="23"/>
      <c r="G128" s="23"/>
      <c r="H128" s="23"/>
      <c r="I128" s="23"/>
      <c r="J128" s="23"/>
      <c r="K128" s="23"/>
      <c r="L128" s="23"/>
      <c r="M128" s="25" t="str">
        <f aca="false">IF(B128="","",(COUNTIF(E128:G128,"✓")+COUNTIF(I128:L128,"✓")+COUNTIF(I128,"-"))/7)</f>
        <v/>
      </c>
      <c r="N128" s="8" t="str">
        <f aca="false">IF(B128="","",IF(M128&gt;=1,"育成完了",IF($C$3-B128&gt;6,"期限切れ（記録だけでもOK）",IF($C$3&lt;B128,"予約中","Day"&amp;($C$3-B128+1)&amp;" 育成中"))))</f>
        <v/>
      </c>
    </row>
    <row r="129" customFormat="false" ht="15" hidden="false" customHeight="false" outlineLevel="0" collapsed="false">
      <c r="A129" s="9" t="n">
        <v>124</v>
      </c>
      <c r="B129" s="22"/>
      <c r="C129" s="23"/>
      <c r="D129" s="24"/>
      <c r="E129" s="23"/>
      <c r="F129" s="23"/>
      <c r="G129" s="23"/>
      <c r="H129" s="23"/>
      <c r="I129" s="23"/>
      <c r="J129" s="23"/>
      <c r="K129" s="23"/>
      <c r="L129" s="23"/>
      <c r="M129" s="25" t="str">
        <f aca="false">IF(B129="","",(COUNTIF(E129:G129,"✓")+COUNTIF(I129:L129,"✓")+COUNTIF(I129,"-"))/7)</f>
        <v/>
      </c>
      <c r="N129" s="8" t="str">
        <f aca="false">IF(B129="","",IF(M129&gt;=1,"育成完了",IF($C$3-B129&gt;6,"期限切れ（記録だけでもOK）",IF($C$3&lt;B129,"予約中","Day"&amp;($C$3-B129+1)&amp;" 育成中"))))</f>
        <v/>
      </c>
    </row>
    <row r="130" customFormat="false" ht="15" hidden="false" customHeight="false" outlineLevel="0" collapsed="false">
      <c r="A130" s="9" t="n">
        <v>125</v>
      </c>
      <c r="B130" s="22"/>
      <c r="C130" s="23"/>
      <c r="D130" s="24"/>
      <c r="E130" s="23"/>
      <c r="F130" s="23"/>
      <c r="G130" s="23"/>
      <c r="H130" s="23"/>
      <c r="I130" s="23"/>
      <c r="J130" s="23"/>
      <c r="K130" s="23"/>
      <c r="L130" s="23"/>
      <c r="M130" s="25" t="str">
        <f aca="false">IF(B130="","",(COUNTIF(E130:G130,"✓")+COUNTIF(I130:L130,"✓")+COUNTIF(I130,"-"))/7)</f>
        <v/>
      </c>
      <c r="N130" s="8" t="str">
        <f aca="false">IF(B130="","",IF(M130&gt;=1,"育成完了",IF($C$3-B130&gt;6,"期限切れ（記録だけでもOK）",IF($C$3&lt;B130,"予約中","Day"&amp;($C$3-B130+1)&amp;" 育成中"))))</f>
        <v/>
      </c>
    </row>
    <row r="131" customFormat="false" ht="15" hidden="false" customHeight="false" outlineLevel="0" collapsed="false">
      <c r="A131" s="9" t="n">
        <v>126</v>
      </c>
      <c r="B131" s="22"/>
      <c r="C131" s="23"/>
      <c r="D131" s="24"/>
      <c r="E131" s="23"/>
      <c r="F131" s="23"/>
      <c r="G131" s="23"/>
      <c r="H131" s="23"/>
      <c r="I131" s="23"/>
      <c r="J131" s="23"/>
      <c r="K131" s="23"/>
      <c r="L131" s="23"/>
      <c r="M131" s="25" t="str">
        <f aca="false">IF(B131="","",(COUNTIF(E131:G131,"✓")+COUNTIF(I131:L131,"✓")+COUNTIF(I131,"-"))/7)</f>
        <v/>
      </c>
      <c r="N131" s="8" t="str">
        <f aca="false">IF(B131="","",IF(M131&gt;=1,"育成完了",IF($C$3-B131&gt;6,"期限切れ（記録だけでもOK）",IF($C$3&lt;B131,"予約中","Day"&amp;($C$3-B131+1)&amp;" 育成中"))))</f>
        <v/>
      </c>
    </row>
    <row r="132" customFormat="false" ht="15" hidden="false" customHeight="false" outlineLevel="0" collapsed="false">
      <c r="A132" s="9" t="n">
        <v>127</v>
      </c>
      <c r="B132" s="22"/>
      <c r="C132" s="23"/>
      <c r="D132" s="24"/>
      <c r="E132" s="23"/>
      <c r="F132" s="23"/>
      <c r="G132" s="23"/>
      <c r="H132" s="23"/>
      <c r="I132" s="23"/>
      <c r="J132" s="23"/>
      <c r="K132" s="23"/>
      <c r="L132" s="23"/>
      <c r="M132" s="25" t="str">
        <f aca="false">IF(B132="","",(COUNTIF(E132:G132,"✓")+COUNTIF(I132:L132,"✓")+COUNTIF(I132,"-"))/7)</f>
        <v/>
      </c>
      <c r="N132" s="8" t="str">
        <f aca="false">IF(B132="","",IF(M132&gt;=1,"育成完了",IF($C$3-B132&gt;6,"期限切れ（記録だけでもOK）",IF($C$3&lt;B132,"予約中","Day"&amp;($C$3-B132+1)&amp;" 育成中"))))</f>
        <v/>
      </c>
    </row>
    <row r="133" customFormat="false" ht="15" hidden="false" customHeight="false" outlineLevel="0" collapsed="false">
      <c r="A133" s="9" t="n">
        <v>128</v>
      </c>
      <c r="B133" s="22"/>
      <c r="C133" s="23"/>
      <c r="D133" s="24"/>
      <c r="E133" s="23"/>
      <c r="F133" s="23"/>
      <c r="G133" s="23"/>
      <c r="H133" s="23"/>
      <c r="I133" s="23"/>
      <c r="J133" s="23"/>
      <c r="K133" s="23"/>
      <c r="L133" s="23"/>
      <c r="M133" s="25" t="str">
        <f aca="false">IF(B133="","",(COUNTIF(E133:G133,"✓")+COUNTIF(I133:L133,"✓")+COUNTIF(I133,"-"))/7)</f>
        <v/>
      </c>
      <c r="N133" s="8" t="str">
        <f aca="false">IF(B133="","",IF(M133&gt;=1,"育成完了",IF($C$3-B133&gt;6,"期限切れ（記録だけでもOK）",IF($C$3&lt;B133,"予約中","Day"&amp;($C$3-B133+1)&amp;" 育成中"))))</f>
        <v/>
      </c>
    </row>
    <row r="134" customFormat="false" ht="15" hidden="false" customHeight="false" outlineLevel="0" collapsed="false">
      <c r="A134" s="9" t="n">
        <v>129</v>
      </c>
      <c r="B134" s="22"/>
      <c r="C134" s="23"/>
      <c r="D134" s="24"/>
      <c r="E134" s="23"/>
      <c r="F134" s="23"/>
      <c r="G134" s="23"/>
      <c r="H134" s="23"/>
      <c r="I134" s="23"/>
      <c r="J134" s="23"/>
      <c r="K134" s="23"/>
      <c r="L134" s="23"/>
      <c r="M134" s="25" t="str">
        <f aca="false">IF(B134="","",(COUNTIF(E134:G134,"✓")+COUNTIF(I134:L134,"✓")+COUNTIF(I134,"-"))/7)</f>
        <v/>
      </c>
      <c r="N134" s="8" t="str">
        <f aca="false">IF(B134="","",IF(M134&gt;=1,"育成完了",IF($C$3-B134&gt;6,"期限切れ（記録だけでもOK）",IF($C$3&lt;B134,"予約中","Day"&amp;($C$3-B134+1)&amp;" 育成中"))))</f>
        <v/>
      </c>
    </row>
    <row r="135" customFormat="false" ht="15" hidden="false" customHeight="false" outlineLevel="0" collapsed="false">
      <c r="A135" s="9" t="n">
        <v>130</v>
      </c>
      <c r="B135" s="22"/>
      <c r="C135" s="23"/>
      <c r="D135" s="24"/>
      <c r="E135" s="23"/>
      <c r="F135" s="23"/>
      <c r="G135" s="23"/>
      <c r="H135" s="23"/>
      <c r="I135" s="23"/>
      <c r="J135" s="23"/>
      <c r="K135" s="23"/>
      <c r="L135" s="23"/>
      <c r="M135" s="25" t="str">
        <f aca="false">IF(B135="","",(COUNTIF(E135:G135,"✓")+COUNTIF(I135:L135,"✓")+COUNTIF(I135,"-"))/7)</f>
        <v/>
      </c>
      <c r="N135" s="8" t="str">
        <f aca="false">IF(B135="","",IF(M135&gt;=1,"育成完了",IF($C$3-B135&gt;6,"期限切れ（記録だけでもOK）",IF($C$3&lt;B135,"予約中","Day"&amp;($C$3-B135+1)&amp;" 育成中"))))</f>
        <v/>
      </c>
    </row>
    <row r="136" customFormat="false" ht="15" hidden="false" customHeight="false" outlineLevel="0" collapsed="false">
      <c r="A136" s="9" t="n">
        <v>131</v>
      </c>
      <c r="B136" s="22"/>
      <c r="C136" s="23"/>
      <c r="D136" s="24"/>
      <c r="E136" s="23"/>
      <c r="F136" s="23"/>
      <c r="G136" s="23"/>
      <c r="H136" s="23"/>
      <c r="I136" s="23"/>
      <c r="J136" s="23"/>
      <c r="K136" s="23"/>
      <c r="L136" s="23"/>
      <c r="M136" s="25" t="str">
        <f aca="false">IF(B136="","",(COUNTIF(E136:G136,"✓")+COUNTIF(I136:L136,"✓")+COUNTIF(I136,"-"))/7)</f>
        <v/>
      </c>
      <c r="N136" s="8" t="str">
        <f aca="false">IF(B136="","",IF(M136&gt;=1,"育成完了",IF($C$3-B136&gt;6,"期限切れ（記録だけでもOK）",IF($C$3&lt;B136,"予約中","Day"&amp;($C$3-B136+1)&amp;" 育成中"))))</f>
        <v/>
      </c>
    </row>
    <row r="137" customFormat="false" ht="15" hidden="false" customHeight="false" outlineLevel="0" collapsed="false">
      <c r="A137" s="9" t="n">
        <v>132</v>
      </c>
      <c r="B137" s="22"/>
      <c r="C137" s="23"/>
      <c r="D137" s="24"/>
      <c r="E137" s="23"/>
      <c r="F137" s="23"/>
      <c r="G137" s="23"/>
      <c r="H137" s="23"/>
      <c r="I137" s="23"/>
      <c r="J137" s="23"/>
      <c r="K137" s="23"/>
      <c r="L137" s="23"/>
      <c r="M137" s="25" t="str">
        <f aca="false">IF(B137="","",(COUNTIF(E137:G137,"✓")+COUNTIF(I137:L137,"✓")+COUNTIF(I137,"-"))/7)</f>
        <v/>
      </c>
      <c r="N137" s="8" t="str">
        <f aca="false">IF(B137="","",IF(M137&gt;=1,"育成完了",IF($C$3-B137&gt;6,"期限切れ（記録だけでもOK）",IF($C$3&lt;B137,"予約中","Day"&amp;($C$3-B137+1)&amp;" 育成中"))))</f>
        <v/>
      </c>
    </row>
    <row r="138" customFormat="false" ht="15" hidden="false" customHeight="false" outlineLevel="0" collapsed="false">
      <c r="A138" s="9" t="n">
        <v>133</v>
      </c>
      <c r="B138" s="22"/>
      <c r="C138" s="23"/>
      <c r="D138" s="24"/>
      <c r="E138" s="23"/>
      <c r="F138" s="23"/>
      <c r="G138" s="23"/>
      <c r="H138" s="23"/>
      <c r="I138" s="23"/>
      <c r="J138" s="23"/>
      <c r="K138" s="23"/>
      <c r="L138" s="23"/>
      <c r="M138" s="25" t="str">
        <f aca="false">IF(B138="","",(COUNTIF(E138:G138,"✓")+COUNTIF(I138:L138,"✓")+COUNTIF(I138,"-"))/7)</f>
        <v/>
      </c>
      <c r="N138" s="8" t="str">
        <f aca="false">IF(B138="","",IF(M138&gt;=1,"育成完了",IF($C$3-B138&gt;6,"期限切れ（記録だけでもOK）",IF($C$3&lt;B138,"予約中","Day"&amp;($C$3-B138+1)&amp;" 育成中"))))</f>
        <v/>
      </c>
    </row>
    <row r="139" customFormat="false" ht="15" hidden="false" customHeight="false" outlineLevel="0" collapsed="false">
      <c r="A139" s="9" t="n">
        <v>134</v>
      </c>
      <c r="B139" s="22"/>
      <c r="C139" s="23"/>
      <c r="D139" s="24"/>
      <c r="E139" s="23"/>
      <c r="F139" s="23"/>
      <c r="G139" s="23"/>
      <c r="H139" s="23"/>
      <c r="I139" s="23"/>
      <c r="J139" s="23"/>
      <c r="K139" s="23"/>
      <c r="L139" s="23"/>
      <c r="M139" s="25" t="str">
        <f aca="false">IF(B139="","",(COUNTIF(E139:G139,"✓")+COUNTIF(I139:L139,"✓")+COUNTIF(I139,"-"))/7)</f>
        <v/>
      </c>
      <c r="N139" s="8" t="str">
        <f aca="false">IF(B139="","",IF(M139&gt;=1,"育成完了",IF($C$3-B139&gt;6,"期限切れ（記録だけでもOK）",IF($C$3&lt;B139,"予約中","Day"&amp;($C$3-B139+1)&amp;" 育成中"))))</f>
        <v/>
      </c>
    </row>
    <row r="140" customFormat="false" ht="15" hidden="false" customHeight="false" outlineLevel="0" collapsed="false">
      <c r="A140" s="9" t="n">
        <v>135</v>
      </c>
      <c r="B140" s="22"/>
      <c r="C140" s="23"/>
      <c r="D140" s="24"/>
      <c r="E140" s="23"/>
      <c r="F140" s="23"/>
      <c r="G140" s="23"/>
      <c r="H140" s="23"/>
      <c r="I140" s="23"/>
      <c r="J140" s="23"/>
      <c r="K140" s="23"/>
      <c r="L140" s="23"/>
      <c r="M140" s="25" t="str">
        <f aca="false">IF(B140="","",(COUNTIF(E140:G140,"✓")+COUNTIF(I140:L140,"✓")+COUNTIF(I140,"-"))/7)</f>
        <v/>
      </c>
      <c r="N140" s="8" t="str">
        <f aca="false">IF(B140="","",IF(M140&gt;=1,"育成完了",IF($C$3-B140&gt;6,"期限切れ（記録だけでもOK）",IF($C$3&lt;B140,"予約中","Day"&amp;($C$3-B140+1)&amp;" 育成中"))))</f>
        <v/>
      </c>
    </row>
    <row r="141" customFormat="false" ht="15" hidden="false" customHeight="false" outlineLevel="0" collapsed="false">
      <c r="A141" s="9" t="n">
        <v>136</v>
      </c>
      <c r="B141" s="22"/>
      <c r="C141" s="23"/>
      <c r="D141" s="24"/>
      <c r="E141" s="23"/>
      <c r="F141" s="23"/>
      <c r="G141" s="23"/>
      <c r="H141" s="23"/>
      <c r="I141" s="23"/>
      <c r="J141" s="23"/>
      <c r="K141" s="23"/>
      <c r="L141" s="23"/>
      <c r="M141" s="25" t="str">
        <f aca="false">IF(B141="","",(COUNTIF(E141:G141,"✓")+COUNTIF(I141:L141,"✓")+COUNTIF(I141,"-"))/7)</f>
        <v/>
      </c>
      <c r="N141" s="8" t="str">
        <f aca="false">IF(B141="","",IF(M141&gt;=1,"育成完了",IF($C$3-B141&gt;6,"期限切れ（記録だけでもOK）",IF($C$3&lt;B141,"予約中","Day"&amp;($C$3-B141+1)&amp;" 育成中"))))</f>
        <v/>
      </c>
    </row>
    <row r="142" customFormat="false" ht="15" hidden="false" customHeight="false" outlineLevel="0" collapsed="false">
      <c r="A142" s="9" t="n">
        <v>137</v>
      </c>
      <c r="B142" s="22"/>
      <c r="C142" s="23"/>
      <c r="D142" s="24"/>
      <c r="E142" s="23"/>
      <c r="F142" s="23"/>
      <c r="G142" s="23"/>
      <c r="H142" s="23"/>
      <c r="I142" s="23"/>
      <c r="J142" s="23"/>
      <c r="K142" s="23"/>
      <c r="L142" s="23"/>
      <c r="M142" s="25" t="str">
        <f aca="false">IF(B142="","",(COUNTIF(E142:G142,"✓")+COUNTIF(I142:L142,"✓")+COUNTIF(I142,"-"))/7)</f>
        <v/>
      </c>
      <c r="N142" s="8" t="str">
        <f aca="false">IF(B142="","",IF(M142&gt;=1,"育成完了",IF($C$3-B142&gt;6,"期限切れ（記録だけでもOK）",IF($C$3&lt;B142,"予約中","Day"&amp;($C$3-B142+1)&amp;" 育成中"))))</f>
        <v/>
      </c>
    </row>
    <row r="143" customFormat="false" ht="15" hidden="false" customHeight="false" outlineLevel="0" collapsed="false">
      <c r="A143" s="9" t="n">
        <v>138</v>
      </c>
      <c r="B143" s="22"/>
      <c r="C143" s="23"/>
      <c r="D143" s="24"/>
      <c r="E143" s="23"/>
      <c r="F143" s="23"/>
      <c r="G143" s="23"/>
      <c r="H143" s="23"/>
      <c r="I143" s="23"/>
      <c r="J143" s="23"/>
      <c r="K143" s="23"/>
      <c r="L143" s="23"/>
      <c r="M143" s="25" t="str">
        <f aca="false">IF(B143="","",(COUNTIF(E143:G143,"✓")+COUNTIF(I143:L143,"✓")+COUNTIF(I143,"-"))/7)</f>
        <v/>
      </c>
      <c r="N143" s="8" t="str">
        <f aca="false">IF(B143="","",IF(M143&gt;=1,"育成完了",IF($C$3-B143&gt;6,"期限切れ（記録だけでもOK）",IF($C$3&lt;B143,"予約中","Day"&amp;($C$3-B143+1)&amp;" 育成中"))))</f>
        <v/>
      </c>
    </row>
    <row r="144" customFormat="false" ht="15" hidden="false" customHeight="false" outlineLevel="0" collapsed="false">
      <c r="A144" s="9" t="n">
        <v>139</v>
      </c>
      <c r="B144" s="22"/>
      <c r="C144" s="23"/>
      <c r="D144" s="24"/>
      <c r="E144" s="23"/>
      <c r="F144" s="23"/>
      <c r="G144" s="23"/>
      <c r="H144" s="23"/>
      <c r="I144" s="23"/>
      <c r="J144" s="23"/>
      <c r="K144" s="23"/>
      <c r="L144" s="23"/>
      <c r="M144" s="25" t="str">
        <f aca="false">IF(B144="","",(COUNTIF(E144:G144,"✓")+COUNTIF(I144:L144,"✓")+COUNTIF(I144,"-"))/7)</f>
        <v/>
      </c>
      <c r="N144" s="8" t="str">
        <f aca="false">IF(B144="","",IF(M144&gt;=1,"育成完了",IF($C$3-B144&gt;6,"期限切れ（記録だけでもOK）",IF($C$3&lt;B144,"予約中","Day"&amp;($C$3-B144+1)&amp;" 育成中"))))</f>
        <v/>
      </c>
    </row>
    <row r="145" customFormat="false" ht="15" hidden="false" customHeight="false" outlineLevel="0" collapsed="false">
      <c r="A145" s="9" t="n">
        <v>140</v>
      </c>
      <c r="B145" s="22"/>
      <c r="C145" s="23"/>
      <c r="D145" s="24"/>
      <c r="E145" s="23"/>
      <c r="F145" s="23"/>
      <c r="G145" s="23"/>
      <c r="H145" s="23"/>
      <c r="I145" s="23"/>
      <c r="J145" s="23"/>
      <c r="K145" s="23"/>
      <c r="L145" s="23"/>
      <c r="M145" s="25" t="str">
        <f aca="false">IF(B145="","",(COUNTIF(E145:G145,"✓")+COUNTIF(I145:L145,"✓")+COUNTIF(I145,"-"))/7)</f>
        <v/>
      </c>
      <c r="N145" s="8" t="str">
        <f aca="false">IF(B145="","",IF(M145&gt;=1,"育成完了",IF($C$3-B145&gt;6,"期限切れ（記録だけでもOK）",IF($C$3&lt;B145,"予約中","Day"&amp;($C$3-B145+1)&amp;" 育成中"))))</f>
        <v/>
      </c>
    </row>
    <row r="146" customFormat="false" ht="15" hidden="false" customHeight="false" outlineLevel="0" collapsed="false">
      <c r="A146" s="9" t="n">
        <v>141</v>
      </c>
      <c r="B146" s="22"/>
      <c r="C146" s="23"/>
      <c r="D146" s="24"/>
      <c r="E146" s="23"/>
      <c r="F146" s="23"/>
      <c r="G146" s="23"/>
      <c r="H146" s="23"/>
      <c r="I146" s="23"/>
      <c r="J146" s="23"/>
      <c r="K146" s="23"/>
      <c r="L146" s="23"/>
      <c r="M146" s="25" t="str">
        <f aca="false">IF(B146="","",(COUNTIF(E146:G146,"✓")+COUNTIF(I146:L146,"✓")+COUNTIF(I146,"-"))/7)</f>
        <v/>
      </c>
      <c r="N146" s="8" t="str">
        <f aca="false">IF(B146="","",IF(M146&gt;=1,"育成完了",IF($C$3-B146&gt;6,"期限切れ（記録だけでもOK）",IF($C$3&lt;B146,"予約中","Day"&amp;($C$3-B146+1)&amp;" 育成中"))))</f>
        <v/>
      </c>
    </row>
    <row r="147" customFormat="false" ht="15" hidden="false" customHeight="false" outlineLevel="0" collapsed="false">
      <c r="A147" s="9" t="n">
        <v>142</v>
      </c>
      <c r="B147" s="22"/>
      <c r="C147" s="23"/>
      <c r="D147" s="24"/>
      <c r="E147" s="23"/>
      <c r="F147" s="23"/>
      <c r="G147" s="23"/>
      <c r="H147" s="23"/>
      <c r="I147" s="23"/>
      <c r="J147" s="23"/>
      <c r="K147" s="23"/>
      <c r="L147" s="23"/>
      <c r="M147" s="25" t="str">
        <f aca="false">IF(B147="","",(COUNTIF(E147:G147,"✓")+COUNTIF(I147:L147,"✓")+COUNTIF(I147,"-"))/7)</f>
        <v/>
      </c>
      <c r="N147" s="8" t="str">
        <f aca="false">IF(B147="","",IF(M147&gt;=1,"育成完了",IF($C$3-B147&gt;6,"期限切れ（記録だけでもOK）",IF($C$3&lt;B147,"予約中","Day"&amp;($C$3-B147+1)&amp;" 育成中"))))</f>
        <v/>
      </c>
    </row>
    <row r="148" customFormat="false" ht="15" hidden="false" customHeight="false" outlineLevel="0" collapsed="false">
      <c r="A148" s="9" t="n">
        <v>143</v>
      </c>
      <c r="B148" s="22"/>
      <c r="C148" s="23"/>
      <c r="D148" s="24"/>
      <c r="E148" s="23"/>
      <c r="F148" s="23"/>
      <c r="G148" s="23"/>
      <c r="H148" s="23"/>
      <c r="I148" s="23"/>
      <c r="J148" s="23"/>
      <c r="K148" s="23"/>
      <c r="L148" s="23"/>
      <c r="M148" s="25" t="str">
        <f aca="false">IF(B148="","",(COUNTIF(E148:G148,"✓")+COUNTIF(I148:L148,"✓")+COUNTIF(I148,"-"))/7)</f>
        <v/>
      </c>
      <c r="N148" s="8" t="str">
        <f aca="false">IF(B148="","",IF(M148&gt;=1,"育成完了",IF($C$3-B148&gt;6,"期限切れ（記録だけでもOK）",IF($C$3&lt;B148,"予約中","Day"&amp;($C$3-B148+1)&amp;" 育成中"))))</f>
        <v/>
      </c>
    </row>
    <row r="149" customFormat="false" ht="15" hidden="false" customHeight="false" outlineLevel="0" collapsed="false">
      <c r="A149" s="9" t="n">
        <v>144</v>
      </c>
      <c r="B149" s="22"/>
      <c r="C149" s="23"/>
      <c r="D149" s="24"/>
      <c r="E149" s="23"/>
      <c r="F149" s="23"/>
      <c r="G149" s="23"/>
      <c r="H149" s="23"/>
      <c r="I149" s="23"/>
      <c r="J149" s="23"/>
      <c r="K149" s="23"/>
      <c r="L149" s="23"/>
      <c r="M149" s="25" t="str">
        <f aca="false">IF(B149="","",(COUNTIF(E149:G149,"✓")+COUNTIF(I149:L149,"✓")+COUNTIF(I149,"-"))/7)</f>
        <v/>
      </c>
      <c r="N149" s="8" t="str">
        <f aca="false">IF(B149="","",IF(M149&gt;=1,"育成完了",IF($C$3-B149&gt;6,"期限切れ（記録だけでもOK）",IF($C$3&lt;B149,"予約中","Day"&amp;($C$3-B149+1)&amp;" 育成中"))))</f>
        <v/>
      </c>
    </row>
    <row r="150" customFormat="false" ht="15" hidden="false" customHeight="false" outlineLevel="0" collapsed="false">
      <c r="A150" s="9" t="n">
        <v>145</v>
      </c>
      <c r="B150" s="22"/>
      <c r="C150" s="23"/>
      <c r="D150" s="24"/>
      <c r="E150" s="23"/>
      <c r="F150" s="23"/>
      <c r="G150" s="23"/>
      <c r="H150" s="23"/>
      <c r="I150" s="23"/>
      <c r="J150" s="23"/>
      <c r="K150" s="23"/>
      <c r="L150" s="23"/>
      <c r="M150" s="25" t="str">
        <f aca="false">IF(B150="","",(COUNTIF(E150:G150,"✓")+COUNTIF(I150:L150,"✓")+COUNTIF(I150,"-"))/7)</f>
        <v/>
      </c>
      <c r="N150" s="8" t="str">
        <f aca="false">IF(B150="","",IF(M150&gt;=1,"育成完了",IF($C$3-B150&gt;6,"期限切れ（記録だけでもOK）",IF($C$3&lt;B150,"予約中","Day"&amp;($C$3-B150+1)&amp;" 育成中"))))</f>
        <v/>
      </c>
    </row>
    <row r="151" customFormat="false" ht="15" hidden="false" customHeight="false" outlineLevel="0" collapsed="false">
      <c r="A151" s="9" t="n">
        <v>146</v>
      </c>
      <c r="B151" s="22"/>
      <c r="C151" s="23"/>
      <c r="D151" s="24"/>
      <c r="E151" s="23"/>
      <c r="F151" s="23"/>
      <c r="G151" s="23"/>
      <c r="H151" s="23"/>
      <c r="I151" s="23"/>
      <c r="J151" s="23"/>
      <c r="K151" s="23"/>
      <c r="L151" s="23"/>
      <c r="M151" s="25" t="str">
        <f aca="false">IF(B151="","",(COUNTIF(E151:G151,"✓")+COUNTIF(I151:L151,"✓")+COUNTIF(I151,"-"))/7)</f>
        <v/>
      </c>
      <c r="N151" s="8" t="str">
        <f aca="false">IF(B151="","",IF(M151&gt;=1,"育成完了",IF($C$3-B151&gt;6,"期限切れ（記録だけでもOK）",IF($C$3&lt;B151,"予約中","Day"&amp;($C$3-B151+1)&amp;" 育成中"))))</f>
        <v/>
      </c>
    </row>
    <row r="152" customFormat="false" ht="15" hidden="false" customHeight="false" outlineLevel="0" collapsed="false">
      <c r="A152" s="9" t="n">
        <v>147</v>
      </c>
      <c r="B152" s="22"/>
      <c r="C152" s="23"/>
      <c r="D152" s="24"/>
      <c r="E152" s="23"/>
      <c r="F152" s="23"/>
      <c r="G152" s="23"/>
      <c r="H152" s="23"/>
      <c r="I152" s="23"/>
      <c r="J152" s="23"/>
      <c r="K152" s="23"/>
      <c r="L152" s="23"/>
      <c r="M152" s="25" t="str">
        <f aca="false">IF(B152="","",(COUNTIF(E152:G152,"✓")+COUNTIF(I152:L152,"✓")+COUNTIF(I152,"-"))/7)</f>
        <v/>
      </c>
      <c r="N152" s="8" t="str">
        <f aca="false">IF(B152="","",IF(M152&gt;=1,"育成完了",IF($C$3-B152&gt;6,"期限切れ（記録だけでもOK）",IF($C$3&lt;B152,"予約中","Day"&amp;($C$3-B152+1)&amp;" 育成中"))))</f>
        <v/>
      </c>
    </row>
    <row r="153" customFormat="false" ht="15" hidden="false" customHeight="false" outlineLevel="0" collapsed="false">
      <c r="A153" s="9" t="n">
        <v>148</v>
      </c>
      <c r="B153" s="22"/>
      <c r="C153" s="23"/>
      <c r="D153" s="24"/>
      <c r="E153" s="23"/>
      <c r="F153" s="23"/>
      <c r="G153" s="23"/>
      <c r="H153" s="23"/>
      <c r="I153" s="23"/>
      <c r="J153" s="23"/>
      <c r="K153" s="23"/>
      <c r="L153" s="23"/>
      <c r="M153" s="25" t="str">
        <f aca="false">IF(B153="","",(COUNTIF(E153:G153,"✓")+COUNTIF(I153:L153,"✓")+COUNTIF(I153,"-"))/7)</f>
        <v/>
      </c>
      <c r="N153" s="8" t="str">
        <f aca="false">IF(B153="","",IF(M153&gt;=1,"育成完了",IF($C$3-B153&gt;6,"期限切れ（記録だけでもOK）",IF($C$3&lt;B153,"予約中","Day"&amp;($C$3-B153+1)&amp;" 育成中"))))</f>
        <v/>
      </c>
    </row>
    <row r="154" customFormat="false" ht="15" hidden="false" customHeight="false" outlineLevel="0" collapsed="false">
      <c r="A154" s="9" t="n">
        <v>149</v>
      </c>
      <c r="B154" s="22"/>
      <c r="C154" s="23"/>
      <c r="D154" s="24"/>
      <c r="E154" s="23"/>
      <c r="F154" s="23"/>
      <c r="G154" s="23"/>
      <c r="H154" s="23"/>
      <c r="I154" s="23"/>
      <c r="J154" s="23"/>
      <c r="K154" s="23"/>
      <c r="L154" s="23"/>
      <c r="M154" s="25" t="str">
        <f aca="false">IF(B154="","",(COUNTIF(E154:G154,"✓")+COUNTIF(I154:L154,"✓")+COUNTIF(I154,"-"))/7)</f>
        <v/>
      </c>
      <c r="N154" s="8" t="str">
        <f aca="false">IF(B154="","",IF(M154&gt;=1,"育成完了",IF($C$3-B154&gt;6,"期限切れ（記録だけでもOK）",IF($C$3&lt;B154,"予約中","Day"&amp;($C$3-B154+1)&amp;" 育成中"))))</f>
        <v/>
      </c>
    </row>
    <row r="155" customFormat="false" ht="15" hidden="false" customHeight="false" outlineLevel="0" collapsed="false">
      <c r="A155" s="9" t="n">
        <v>150</v>
      </c>
      <c r="B155" s="22"/>
      <c r="C155" s="23"/>
      <c r="D155" s="24"/>
      <c r="E155" s="23"/>
      <c r="F155" s="23"/>
      <c r="G155" s="23"/>
      <c r="H155" s="23"/>
      <c r="I155" s="23"/>
      <c r="J155" s="23"/>
      <c r="K155" s="23"/>
      <c r="L155" s="23"/>
      <c r="M155" s="25" t="str">
        <f aca="false">IF(B155="","",(COUNTIF(E155:G155,"✓")+COUNTIF(I155:L155,"✓")+COUNTIF(I155,"-"))/7)</f>
        <v/>
      </c>
      <c r="N155" s="8" t="str">
        <f aca="false">IF(B155="","",IF(M155&gt;=1,"育成完了",IF($C$3-B155&gt;6,"期限切れ（記録だけでもOK）",IF($C$3&lt;B155,"予約中","Day"&amp;($C$3-B155+1)&amp;" 育成中"))))</f>
        <v/>
      </c>
    </row>
  </sheetData>
  <conditionalFormatting sqref="E6:E155">
    <cfRule type="expression" priority="2" aboveAverage="0" equalAverage="0" bottom="0" percent="0" rank="0" text="" dxfId="0">
      <formula>AND($B6&lt;&gt;"",$C$3-$B6=0,E6="")</formula>
    </cfRule>
  </conditionalFormatting>
  <conditionalFormatting sqref="F6:F155">
    <cfRule type="expression" priority="3" aboveAverage="0" equalAverage="0" bottom="0" percent="0" rank="0" text="" dxfId="0">
      <formula>AND($B6&lt;&gt;"",$C$3-$B6=1,F6="")</formula>
    </cfRule>
  </conditionalFormatting>
  <conditionalFormatting sqref="G6:G155">
    <cfRule type="expression" priority="4" aboveAverage="0" equalAverage="0" bottom="0" percent="0" rank="0" text="" dxfId="0">
      <formula>AND($B6&lt;&gt;"",$C$3-$B6=2,G6="")</formula>
    </cfRule>
  </conditionalFormatting>
  <conditionalFormatting sqref="H6:H155">
    <cfRule type="expression" priority="5" aboveAverage="0" equalAverage="0" bottom="0" percent="0" rank="0" text="" dxfId="0">
      <formula>AND($B6&lt;&gt;"",$C$3-$B6=2,H6="")</formula>
    </cfRule>
  </conditionalFormatting>
  <conditionalFormatting sqref="I6:I155">
    <cfRule type="expression" priority="6" aboveAverage="0" equalAverage="0" bottom="0" percent="0" rank="0" text="" dxfId="0">
      <formula>AND($B6&lt;&gt;"",$C$3-$B6=3,I6="")</formula>
    </cfRule>
  </conditionalFormatting>
  <conditionalFormatting sqref="J6:J155">
    <cfRule type="expression" priority="7" aboveAverage="0" equalAverage="0" bottom="0" percent="0" rank="0" text="" dxfId="0">
      <formula>AND($B6&lt;&gt;"",$C$3-$B6=4,J6="")</formula>
    </cfRule>
  </conditionalFormatting>
  <conditionalFormatting sqref="K6:K155">
    <cfRule type="expression" priority="8" aboveAverage="0" equalAverage="0" bottom="0" percent="0" rank="0" text="" dxfId="0">
      <formula>AND($B6&lt;&gt;"",$C$3-$B6=5,K6="")</formula>
    </cfRule>
  </conditionalFormatting>
  <conditionalFormatting sqref="L6:L155">
    <cfRule type="expression" priority="9" aboveAverage="0" equalAverage="0" bottom="0" percent="0" rank="0" text="" dxfId="0">
      <formula>AND($B6&lt;&gt;"",$C$3-$B6=6,L6="")</formula>
    </cfRule>
  </conditionalFormatting>
  <conditionalFormatting sqref="N6:N155">
    <cfRule type="expression" priority="10" aboveAverage="0" equalAverage="0" bottom="0" percent="0" rank="0" text="" dxfId="1">
      <formula>$N6="育成完了"</formula>
    </cfRule>
  </conditionalFormatting>
  <dataValidations count="4">
    <dataValidation allowBlank="true" errorStyle="stop" operator="between" showDropDown="false" showErrorMessage="false" showInputMessage="false" sqref="E6:G155 J6:L155" type="list">
      <formula1>"✓"</formula1>
      <formula2>0</formula2>
    </dataValidation>
    <dataValidation allowBlank="true" errorStyle="stop" operator="between" showDropDown="false" showErrorMessage="false" showInputMessage="false" sqref="I6:I155" type="list">
      <formula1>"✓,-"</formula1>
      <formula2>0</formula2>
    </dataValidation>
    <dataValidation allowBlank="true" errorStyle="stop" operator="between" showDropDown="false" showErrorMessage="false" showInputMessage="false" sqref="H6:H155" type="list">
      <formula1>"○,×"</formula1>
      <formula2>0</formula2>
    </dataValidation>
    <dataValidation allowBlank="true" errorStyle="stop" operator="between" showDropDown="false" showErrorMessage="false" showInputMessage="false" sqref="C6:C155" type="list">
      <formula1>"場面→工夫型,ビフォーアフター型,失敗談型,比べてみた型,問いかけ型,お返事投稿"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2026-10-04T18:44:23Z</dcterms:created>
  <dc:creator>openpyxl</dc:creator>
  <dc:description/>
  <dc:language>en-US</dc:language>
  <cp:lastModifiedBy/>
  <dcterms:modified xsi:type="dcterms:W3CDTF">2026-10-04T18:44:24Z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