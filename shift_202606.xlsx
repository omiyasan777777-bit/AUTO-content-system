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シフト表" sheetId="1" r:id="rId1"/>
    <sheet name="グラフ" sheetId="2" r:id="rId2"/>
  </sheets>
</workbook>
</file>

<file path=xl/sharedStrings.xml><?xml version="1.0" encoding="utf-8"?>
<sst xmlns="http://schemas.openxmlformats.org/spreadsheetml/2006/main" count="91" uniqueCount="91">
  <si>
    <t xml:space="preserve">2026年6月 シフト表</t>
  </si>
  <si>
    <t xml:space="preserve">No</t>
  </si>
  <si>
    <t xml:space="preserve">氏名</t>
  </si>
  <si>
    <t xml:space="preserve">1
(月)</t>
  </si>
  <si>
    <t xml:space="preserve">2
(火)</t>
  </si>
  <si>
    <t xml:space="preserve">3
(水)</t>
  </si>
  <si>
    <t xml:space="preserve">4
(木)</t>
  </si>
  <si>
    <t xml:space="preserve">5
(金)</t>
  </si>
  <si>
    <t xml:space="preserve">6
(土)</t>
  </si>
  <si>
    <t xml:space="preserve">7
(日)</t>
  </si>
  <si>
    <t xml:space="preserve">8
(月)</t>
  </si>
  <si>
    <t xml:space="preserve">9
(火)</t>
  </si>
  <si>
    <t xml:space="preserve">10
(水)</t>
  </si>
  <si>
    <t xml:space="preserve">11
(木)</t>
  </si>
  <si>
    <t xml:space="preserve">12
(金)</t>
  </si>
  <si>
    <t xml:space="preserve">13
(土)</t>
  </si>
  <si>
    <t xml:space="preserve">14
(日)</t>
  </si>
  <si>
    <t xml:space="preserve">15
(月)</t>
  </si>
  <si>
    <t xml:space="preserve">16
(火)</t>
  </si>
  <si>
    <t xml:space="preserve">17
(水)</t>
  </si>
  <si>
    <t xml:space="preserve">18
(木)</t>
  </si>
  <si>
    <t xml:space="preserve">19
(金)</t>
  </si>
  <si>
    <t xml:space="preserve">20
(土)</t>
  </si>
  <si>
    <t xml:space="preserve">21
(日)</t>
  </si>
  <si>
    <t xml:space="preserve">22
(月)</t>
  </si>
  <si>
    <t xml:space="preserve">23
(火)</t>
  </si>
  <si>
    <t xml:space="preserve">24
(水)</t>
  </si>
  <si>
    <t xml:space="preserve">25
(木)</t>
  </si>
  <si>
    <t xml:space="preserve">26
(金)</t>
  </si>
  <si>
    <t xml:space="preserve">27
(土)</t>
  </si>
  <si>
    <t xml:space="preserve">28
(日)</t>
  </si>
  <si>
    <t xml:space="preserve">29
(月)</t>
  </si>
  <si>
    <t xml:space="preserve">30
(火)</t>
  </si>
  <si>
    <t xml:space="preserve">早番
合計</t>
  </si>
  <si>
    <t xml:space="preserve">遅番
合計</t>
  </si>
  <si>
    <t xml:space="preserve">出勤
日数</t>
  </si>
  <si>
    <t xml:space="preserve">田中</t>
  </si>
  <si>
    <t xml:space="preserve">日</t>
  </si>
  <si>
    <t xml:space="preserve">休</t>
  </si>
  <si>
    <t xml:space="preserve">早</t>
  </si>
  <si>
    <t xml:space="preserve">遅</t>
  </si>
  <si>
    <t xml:space="preserve">佐藤</t>
  </si>
  <si>
    <t xml:space="preserve">鈴木</t>
  </si>
  <si>
    <t xml:space="preserve">山田</t>
  </si>
  <si>
    <t xml:space="preserve">伊藤</t>
  </si>
  <si>
    <t xml:space="preserve"/>
  </si>
  <si>
    <t xml:space="preserve">日別出勤数</t>
  </si>
  <si>
    <t xml:space="preserve">2026年6月11日 〜 2026年7月10日  シフトグラフ</t>
  </si>
  <si>
    <t xml:space="preserve">日付</t>
  </si>
  <si>
    <t xml:space="preserve">曜日</t>
  </si>
  <si>
    <t xml:space="preserve">出勤者数</t>
  </si>
  <si>
    <t xml:space="preserve">早番</t>
  </si>
  <si>
    <t xml:space="preserve">日勤</t>
  </si>
  <si>
    <t xml:space="preserve">遅番</t>
  </si>
  <si>
    <t xml:space="preserve">備考</t>
  </si>
  <si>
    <t xml:space="preserve">6/11</t>
  </si>
  <si>
    <t xml:space="preserve">木</t>
  </si>
  <si>
    <t xml:space="preserve">6/12</t>
  </si>
  <si>
    <t xml:space="preserve">金</t>
  </si>
  <si>
    <t xml:space="preserve">6/13</t>
  </si>
  <si>
    <t xml:space="preserve">土</t>
  </si>
  <si>
    <t xml:space="preserve">6/14</t>
  </si>
  <si>
    <t xml:space="preserve">6/15</t>
  </si>
  <si>
    <t xml:space="preserve">月</t>
  </si>
  <si>
    <t xml:space="preserve">6/16</t>
  </si>
  <si>
    <t xml:space="preserve">火</t>
  </si>
  <si>
    <t xml:space="preserve">6/17</t>
  </si>
  <si>
    <t xml:space="preserve">水</t>
  </si>
  <si>
    <t xml:space="preserve">6/18</t>
  </si>
  <si>
    <t xml:space="preserve">6/19</t>
  </si>
  <si>
    <t xml:space="preserve">6/20</t>
  </si>
  <si>
    <t xml:space="preserve">6/21</t>
  </si>
  <si>
    <t xml:space="preserve">6/22</t>
  </si>
  <si>
    <t xml:space="preserve">6/23</t>
  </si>
  <si>
    <t xml:space="preserve">6/24</t>
  </si>
  <si>
    <t xml:space="preserve">6/25</t>
  </si>
  <si>
    <t xml:space="preserve">6/26</t>
  </si>
  <si>
    <t xml:space="preserve">6/27</t>
  </si>
  <si>
    <t xml:space="preserve">6/28</t>
  </si>
  <si>
    <t xml:space="preserve">6/29</t>
  </si>
  <si>
    <t xml:space="preserve">6/30</t>
  </si>
  <si>
    <t xml:space="preserve">7/1</t>
  </si>
  <si>
    <t xml:space="preserve">7/2</t>
  </si>
  <si>
    <t xml:space="preserve">7/3</t>
  </si>
  <si>
    <t xml:space="preserve">7/4</t>
  </si>
  <si>
    <t xml:space="preserve">7/5</t>
  </si>
  <si>
    <t xml:space="preserve">7/6</t>
  </si>
  <si>
    <t xml:space="preserve">7/7</t>
  </si>
  <si>
    <t xml:space="preserve">7/8</t>
  </si>
  <si>
    <t xml:space="preserve">7/9</t>
  </si>
  <si>
    <t xml:space="preserve">7/10</t>
  </si>
</sst>
</file>

<file path=xl/styles.xml><?xml version="1.0" encoding="utf-8"?>
<styleSheet xmlns="http://schemas.openxmlformats.org/spreadsheetml/2006/main">
  <fonts count="5">
    <font>
      <sz val="11"/>
      <name val="游ゴシック"/>
    </font>
    <font>
      <b/>
      <sz val="11"/>
      <name val="游ゴシック"/>
    </font>
    <font>
      <b/>
      <sz val="14"/>
      <name val="游ゴシック"/>
    </font>
    <font>
      <b/>
      <sz val="11"/>
      <color rgb="FFFFFFFF"/>
      <name val="游ゴシック"/>
    </font>
    <font>
      <sz val="10"/>
      <name val="游ゴシック"/>
    </font>
  </fonts>
  <fills count="7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DBEAFE"/>
      </patternFill>
    </fill>
    <fill>
      <patternFill patternType="solid">
        <fgColor rgb="FFFEF9C3"/>
      </patternFill>
    </fill>
    <fill>
      <patternFill patternType="solid">
        <fgColor rgb="FFBBF7D0"/>
      </patternFill>
    </fill>
    <fill>
      <patternFill patternType="solid">
        <fgColor rgb="FFFDE8E8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medium">
        <color rgb="FF2563EB"/>
      </left>
      <right style="medium">
        <color rgb="FF2563EB"/>
      </right>
      <top style="medium">
        <color rgb="FF2563EB"/>
      </top>
      <bottom style="medium">
        <color rgb="FF2563EB"/>
      </bottom>
    </border>
  </borders>
  <cellStyleXfs count="1">
    <xf numFmtId="0" fontId="0" fillId="0" borderId="0"/>
  </cellStyleXfs>
  <cellXfs count="15">
    <!-- 0: 通常 -->
    <xf numFmtId="0" fontId="0" fillId="0" borderId="0" xfId="0"/>
    <!-- 1: ヘッダー（青背景・白字・太字・中央） -->
    <xf numFmtId="0" fontId="3" fillId="2" borderId="1" xfId="0" applyAlignment="1">
      <alignment horizontal="center" vertical="center"/>
    </xf>
    <!-- 2: 氏名セル（水色背景・太字・中央） -->
    <xf numFmtId="0" fontId="1" fillId="3" borderId="1" xfId="0" applyAlignment="1">
      <alignment horizontal="center" vertical="center"/>
    </xf>
    <!-- 3: 通常セル（枠・中央） -->
    <xf numFmtId="0" fontId="0" fillId="0" borderId="1" xfId="0" applyAlignment="1">
      <alignment horizontal="center" vertical="center"/>
    </xf>
    <!-- 4: 土曜ヘッダー（黄背景・中央） -->
    <xf numFmtId="0" fontId="1" fillId="4" borderId="1" xfId="0" applyAlignment="1">
      <alignment horizontal="center" vertical="center"/>
    </xf>
    <!-- 5: 日曜ヘッダー（赤背景・中央） -->
    <xf numFmtId="0" fontId="1" fillId="6" borderId="1" xfId="0" applyAlignment="1">
      <alignment horizontal="center" vertical="center"/>
    </xf>
    <!-- 6: タイトル -->
    <xf numFmtId="0" fontId="2" fillId="0" borderId="0" xfId="0" applyAlignment="1">
      <alignment horizontal="center" vertical="center"/>
    </xf>
    <!-- 7: 集計ヘッダー（青） -->
    <xf numFmtId="0" fontId="3" fillId="2" borderId="1" xfId="0" applyAlignment="1">
      <alignment horizontal="center" vertical="center" wrapText="1"/>
    </xf>
    <!-- 8: 集計数値（中央・枠） -->
    <xf numFmtId="0" fontId="0" fillId="0" borderId="1" xfId="0" applyAlignment="1">
      <alignment horizontal="center" vertical="center"/>
    </xf>
    <!-- 9: 集計行ラベル（水色） -->
    <xf numFmtId="0" fontId="1" fillId="3" borderId="1" xfId="0" applyAlignment="1">
      <alignment horizontal="left" vertical="center"/>
    </xf>
    <!-- 10: 土曜セル（黄薄） -->
    <xf numFmtId="0" fontId="0" fillId="4" borderId="1" xfId="0" applyAlignment="1">
      <alignment horizontal="center" vertical="center"/>
    </xf>
    <!-- 11: 日曜セル（赤薄） -->
    <xf numFmtId="0" fontId="0" fillId="6" borderId="1" xfId="0" applyAlignment="1">
      <alignment horizontal="center" vertical="center"/>
    </xf>
    <!-- 12: 集計緑 -->
    <xf numFmtId="0" fontId="1" fillId="5" borderId="1" xfId="0" applyAlignment="1">
      <alignment horizontal="center" vertical="center"/>
    </xf>
    <!-- 13: グラフシートタイトル -->
    <xf numFmtId="0" fontId="2" fillId="2" borderId="0" xfId="0" applyAlignment="1">
      <alignment horizontal="center" vertical="center"/>
    </xf>
    <!-- 14: 凡例セル -->
    <xf numFmtId="0" fontId="4" fillId="0" borderId="1" xfId="0" applyAlignment="1">
      <alignment horizontal="lef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
    Target="worksheets/sheet1.xml"/>
  <Relationship Id="rId2" Type="http://schemas.openxmlformats.org/officeDocument/2006/relationships/worksheet"
    Target="worksheets/sheet2.xml"/>
  <Relationship Id="rId3" Type="http://schemas.openxmlformats.org/officeDocument/2006/relationships/sharedStrings"
    Target="sharedStrings.xml"/>
  <Relationship Id="rId4" Type="http://schemas.openxmlformats.org/officeDocument/2006/relationships/styles"
    Target="styles.xml"/>
</Relationships>
</file>

<file path=xl/charts/_rels/chart1.xml.rels><?xml version="1.0" encoding="UTF-8" standalone="yes"?>
<Relationships xmlns="http://schemas.openxmlformats.org/package/2006/relationships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ja-JP"/>
  <c:chart>
    <c:title>
      <c:tx>
        <c:rich>
          <a:bodyPr/>
          <a:lstStyle/>
          <a:p>
            <a:r>
              <a:t>シフト別出勤者数（11日〜翌10日）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グラフ!$D$2</c:f>
              <c:strCache>
                <c:ptCount val="1"/>
                <c:pt idx="0">
                  <c:v>早番</c:v>
                </c:pt>
              </c:strCache>
            </c:strRef>
          </c:tx>
          <c:spPr>
            <a:solidFill xmlns:a="http://schemas.openxmlformats.org/drawingml/2006/main">
              <a:srgbClr val="4472C4"/>
            </a:solidFill>
          </c:spPr>
          <c:cat>
            <c:strRef>
              <c:f>グラフ!$A$3:$A$32</c:f>
              <c:strCache>
                <c:ptCount val="30"/>
              </c:strCache>
            </c:strRef>
          </c:cat>
          <c:val>
            <c:numRef>
              <c:f>グラフ!$D$3:$D$32</c:f>
              <c:numCache>
                <c:formatCode>General</c:formatCode>
                <c:ptCount val="30"/>
              </c:numCache>
            </c:numRef>
          </c:val>
        </c:ser>
        <c:ser>
          <c:idx val="1"/>
          <c:order val="1"/>
          <c:tx>
            <c:strRef>
              <c:f>グラフ!$E$2</c:f>
              <c:strCache>
                <c:ptCount val="1"/>
                <c:pt idx="0">
                  <c:v>日勤</c:v>
                </c:pt>
              </c:strCache>
            </c:strRef>
          </c:tx>
          <c:spPr>
            <a:solidFill xmlns:a="http://schemas.openxmlformats.org/drawingml/2006/main">
              <a:srgbClr val="ED7D31"/>
            </a:solidFill>
          </c:spPr>
          <c:cat>
            <c:strRef>
              <c:f>グラフ!$A$3:$A$32</c:f>
              <c:strCache>
                <c:ptCount val="30"/>
              </c:strCache>
            </c:strRef>
          </c:cat>
          <c:val>
            <c:numRef>
              <c:f>グラフ!$E$3:$E$32</c:f>
              <c:numCache>
                <c:formatCode>General</c:formatCode>
                <c:ptCount val="30"/>
              </c:numCache>
            </c:numRef>
          </c:val>
        </c:ser>
        <c:ser>
          <c:idx val="2"/>
          <c:order val="2"/>
          <c:tx>
            <c:strRef>
              <c:f>グラフ!$F$2</c:f>
              <c:strCache>
                <c:ptCount val="1"/>
                <c:pt idx="0">
                  <c:v>遅番</c:v>
                </c:pt>
              </c:strCache>
            </c:strRef>
          </c:tx>
          <c:spPr>
            <a:solidFill xmlns:a="http://schemas.openxmlformats.org/drawingml/2006/main">
              <a:srgbClr val="A9D18E"/>
            </a:solidFill>
          </c:spPr>
          <c:cat>
            <c:strRef>
              <c:f>グラフ!$A$3:$A$32</c:f>
              <c:strCache>
                <c:ptCount val="30"/>
              </c:strCache>
            </c:strRef>
          </c:cat>
          <c:val>
            <c:numRef>
              <c:f>グラフ!$F$3:$F$32</c:f>
              <c:numCache>
                <c:formatCode>General</c:formatCode>
                <c:ptCount val="30"/>
              </c:numCache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  <c:tickLblSkip val="1"/>
      </c:catAx>
      <c:valAx>
        <c:axId val="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r>
                  <a:t>人数</a:t>
                </a:r>
              </a:p>
            </c:rich>
          </c:tx>
          <c:overlay val="0"/>
        </c:title>
        <c:crossAx val="1"/>
      </c:valAx>
    </c:plotArea>
    <c:legend>
      <c:legendPos val="b"/>
    </c:legend>
    <c:plotVisOnly val="1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moveWithCells="1">
    <xdr:from>
      <xdr:col>7</xdr:col>
      <xdr:colOff>0</xdr:colOff>
      <xdr:row>1</xdr:row>
      <xdr:rowOff>0</xdr:rowOff>
    </xdr:from>
    <xdr:to>
      <xdr:col>20</xdr:col>
      <xdr:colOff>0</xdr:colOff>
      <xdr:row>32</xdr:row>
      <xdr:rowOff>0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chart"
    Target="../charts/chart1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>
      <pane ySplit="2" topLeftCell="A3" activePane="bottomLeft" state="frozen"/>
    </sheetView>
  </sheetViews>
  <cols>
    <col min="1" max="1" width="6" customWidth="1"/>
    <col min="2" max="2" width="10" customWidth="1"/>
    <col min="3" max="32" width="6" customWidth="1"/>
    <col min="33" max="35" width="10" customWidth="1"/>
  </cols>
  <sheetData>
    <row r="1" ht="28" customHeight="1">
      <c r="A1" s="6" t="s">
        <v>0</v>
      </c>
    </row>
    <row r="2" ht="36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4" t="s">
        <v>8</v>
      </c>
      <c r="I2" s="5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4" t="s">
        <v>15</v>
      </c>
      <c r="P2" s="5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4" t="s">
        <v>22</v>
      </c>
      <c r="W2" s="5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4" t="s">
        <v>29</v>
      </c>
      <c r="AD2" s="5" t="s">
        <v>30</v>
      </c>
      <c r="AE2" s="1" t="s">
        <v>31</v>
      </c>
      <c r="AF2" s="1" t="s">
        <v>32</v>
      </c>
      <c r="AG2" s="7" t="s">
        <v>33</v>
      </c>
      <c r="AH2" s="7" t="s">
        <v>34</v>
      </c>
      <c r="AI2" s="7" t="s">
        <v>35</v>
      </c>
    </row>
    <row r="3">
      <c r="A3" s="3">
        <v>1</v>
      </c>
      <c r="B3" s="2" t="s">
        <v>36</v>
      </c>
      <c r="C3" s="3" t="s">
        <v>37</v>
      </c>
      <c r="D3" s="3" t="s">
        <v>37</v>
      </c>
      <c r="E3" s="3" t="s">
        <v>37</v>
      </c>
      <c r="F3" s="3" t="s">
        <v>37</v>
      </c>
      <c r="G3" s="3" t="s">
        <v>37</v>
      </c>
      <c r="H3" s="10" t="s">
        <v>38</v>
      </c>
      <c r="I3" s="11" t="s">
        <v>38</v>
      </c>
      <c r="J3" s="3" t="s">
        <v>37</v>
      </c>
      <c r="K3" s="3" t="s">
        <v>37</v>
      </c>
      <c r="L3" s="3" t="s">
        <v>37</v>
      </c>
      <c r="M3" s="3" t="s">
        <v>37</v>
      </c>
      <c r="N3" s="3" t="s">
        <v>37</v>
      </c>
      <c r="O3" s="10" t="s">
        <v>38</v>
      </c>
      <c r="P3" s="11" t="s">
        <v>38</v>
      </c>
      <c r="Q3" s="3" t="s">
        <v>37</v>
      </c>
      <c r="R3" s="3" t="s">
        <v>37</v>
      </c>
      <c r="S3" s="3" t="s">
        <v>37</v>
      </c>
      <c r="T3" s="3" t="s">
        <v>37</v>
      </c>
      <c r="U3" s="3" t="s">
        <v>37</v>
      </c>
      <c r="V3" s="10" t="s">
        <v>38</v>
      </c>
      <c r="W3" s="11" t="s">
        <v>38</v>
      </c>
      <c r="X3" s="3" t="s">
        <v>37</v>
      </c>
      <c r="Y3" s="3" t="s">
        <v>37</v>
      </c>
      <c r="Z3" s="3" t="s">
        <v>37</v>
      </c>
      <c r="AA3" s="3" t="s">
        <v>37</v>
      </c>
      <c r="AB3" s="3" t="s">
        <v>37</v>
      </c>
      <c r="AC3" s="10" t="s">
        <v>38</v>
      </c>
      <c r="AD3" s="11" t="s">
        <v>38</v>
      </c>
      <c r="AE3" s="3" t="s">
        <v>37</v>
      </c>
      <c r="AF3" s="3" t="s">
        <v>37</v>
      </c>
      <c r="AG3" s="12">
        <f>COUNTIF(C3:AF3,"早")</f>
        <v>0</v>
      </c>
      <c r="AH3" s="12">
        <f>COUNTIF(C3:AF3,"遅")</f>
        <v>0</v>
      </c>
      <c r="AI3" s="12">
        <f>COUNTIF(C3:AF3,"早")+COUNTIF(C3:AF3,"日")+COUNTIF(C3:AF3,"遅")</f>
        <v>0</v>
      </c>
    </row>
    <row r="4">
      <c r="A4" s="3">
        <v>2</v>
      </c>
      <c r="B4" s="2" t="s">
        <v>41</v>
      </c>
      <c r="C4" s="3" t="s">
        <v>37</v>
      </c>
      <c r="D4" s="3" t="s">
        <v>37</v>
      </c>
      <c r="E4" s="3" t="s">
        <v>37</v>
      </c>
      <c r="F4" s="3" t="s">
        <v>37</v>
      </c>
      <c r="G4" s="3" t="s">
        <v>37</v>
      </c>
      <c r="H4" s="10" t="s">
        <v>38</v>
      </c>
      <c r="I4" s="11" t="s">
        <v>38</v>
      </c>
      <c r="J4" s="3" t="s">
        <v>37</v>
      </c>
      <c r="K4" s="3" t="s">
        <v>37</v>
      </c>
      <c r="L4" s="3" t="s">
        <v>37</v>
      </c>
      <c r="M4" s="3" t="s">
        <v>37</v>
      </c>
      <c r="N4" s="3" t="s">
        <v>37</v>
      </c>
      <c r="O4" s="10" t="s">
        <v>38</v>
      </c>
      <c r="P4" s="11" t="s">
        <v>38</v>
      </c>
      <c r="Q4" s="3" t="s">
        <v>37</v>
      </c>
      <c r="R4" s="3" t="s">
        <v>37</v>
      </c>
      <c r="S4" s="3" t="s">
        <v>37</v>
      </c>
      <c r="T4" s="3" t="s">
        <v>37</v>
      </c>
      <c r="U4" s="3" t="s">
        <v>37</v>
      </c>
      <c r="V4" s="10" t="s">
        <v>38</v>
      </c>
      <c r="W4" s="11" t="s">
        <v>38</v>
      </c>
      <c r="X4" s="3" t="s">
        <v>37</v>
      </c>
      <c r="Y4" s="3" t="s">
        <v>37</v>
      </c>
      <c r="Z4" s="3" t="s">
        <v>37</v>
      </c>
      <c r="AA4" s="3" t="s">
        <v>37</v>
      </c>
      <c r="AB4" s="3" t="s">
        <v>37</v>
      </c>
      <c r="AC4" s="10" t="s">
        <v>38</v>
      </c>
      <c r="AD4" s="11" t="s">
        <v>38</v>
      </c>
      <c r="AE4" s="3" t="s">
        <v>37</v>
      </c>
      <c r="AF4" s="3" t="s">
        <v>37</v>
      </c>
      <c r="AG4" s="12">
        <f>COUNTIF(C4:AF4,"早")</f>
        <v>0</v>
      </c>
      <c r="AH4" s="12">
        <f>COUNTIF(C4:AF4,"遅")</f>
        <v>0</v>
      </c>
      <c r="AI4" s="12">
        <f>COUNTIF(C4:AF4,"早")+COUNTIF(C4:AF4,"日")+COUNTIF(C4:AF4,"遅")</f>
        <v>0</v>
      </c>
    </row>
    <row r="5">
      <c r="A5" s="3">
        <v>3</v>
      </c>
      <c r="B5" s="2" t="s">
        <v>42</v>
      </c>
      <c r="C5" s="3" t="s">
        <v>37</v>
      </c>
      <c r="D5" s="3" t="s">
        <v>37</v>
      </c>
      <c r="E5" s="3" t="s">
        <v>37</v>
      </c>
      <c r="F5" s="3" t="s">
        <v>37</v>
      </c>
      <c r="G5" s="3" t="s">
        <v>37</v>
      </c>
      <c r="H5" s="10" t="s">
        <v>38</v>
      </c>
      <c r="I5" s="11" t="s">
        <v>38</v>
      </c>
      <c r="J5" s="3" t="s">
        <v>37</v>
      </c>
      <c r="K5" s="3" t="s">
        <v>37</v>
      </c>
      <c r="L5" s="3" t="s">
        <v>37</v>
      </c>
      <c r="M5" s="3" t="s">
        <v>37</v>
      </c>
      <c r="N5" s="3" t="s">
        <v>37</v>
      </c>
      <c r="O5" s="10" t="s">
        <v>38</v>
      </c>
      <c r="P5" s="11" t="s">
        <v>38</v>
      </c>
      <c r="Q5" s="3" t="s">
        <v>37</v>
      </c>
      <c r="R5" s="3" t="s">
        <v>37</v>
      </c>
      <c r="S5" s="3" t="s">
        <v>37</v>
      </c>
      <c r="T5" s="3" t="s">
        <v>37</v>
      </c>
      <c r="U5" s="3" t="s">
        <v>37</v>
      </c>
      <c r="V5" s="10" t="s">
        <v>38</v>
      </c>
      <c r="W5" s="11" t="s">
        <v>38</v>
      </c>
      <c r="X5" s="3" t="s">
        <v>37</v>
      </c>
      <c r="Y5" s="3" t="s">
        <v>37</v>
      </c>
      <c r="Z5" s="3" t="s">
        <v>37</v>
      </c>
      <c r="AA5" s="3" t="s">
        <v>37</v>
      </c>
      <c r="AB5" s="3" t="s">
        <v>37</v>
      </c>
      <c r="AC5" s="10" t="s">
        <v>38</v>
      </c>
      <c r="AD5" s="11" t="s">
        <v>38</v>
      </c>
      <c r="AE5" s="3" t="s">
        <v>37</v>
      </c>
      <c r="AF5" s="3" t="s">
        <v>37</v>
      </c>
      <c r="AG5" s="12">
        <f>COUNTIF(C5:AF5,"早")</f>
        <v>0</v>
      </c>
      <c r="AH5" s="12">
        <f>COUNTIF(C5:AF5,"遅")</f>
        <v>0</v>
      </c>
      <c r="AI5" s="12">
        <f>COUNTIF(C5:AF5,"早")+COUNTIF(C5:AF5,"日")+COUNTIF(C5:AF5,"遅")</f>
        <v>0</v>
      </c>
    </row>
    <row r="6">
      <c r="A6" s="3">
        <v>4</v>
      </c>
      <c r="B6" s="2" t="s">
        <v>43</v>
      </c>
      <c r="C6" s="3" t="s">
        <v>37</v>
      </c>
      <c r="D6" s="3" t="s">
        <v>37</v>
      </c>
      <c r="E6" s="3" t="s">
        <v>37</v>
      </c>
      <c r="F6" s="3" t="s">
        <v>37</v>
      </c>
      <c r="G6" s="3" t="s">
        <v>37</v>
      </c>
      <c r="H6" s="10" t="s">
        <v>38</v>
      </c>
      <c r="I6" s="11" t="s">
        <v>38</v>
      </c>
      <c r="J6" s="3" t="s">
        <v>37</v>
      </c>
      <c r="K6" s="3" t="s">
        <v>37</v>
      </c>
      <c r="L6" s="3" t="s">
        <v>37</v>
      </c>
      <c r="M6" s="3" t="s">
        <v>37</v>
      </c>
      <c r="N6" s="3" t="s">
        <v>37</v>
      </c>
      <c r="O6" s="10" t="s">
        <v>38</v>
      </c>
      <c r="P6" s="11" t="s">
        <v>38</v>
      </c>
      <c r="Q6" s="3" t="s">
        <v>37</v>
      </c>
      <c r="R6" s="3" t="s">
        <v>37</v>
      </c>
      <c r="S6" s="3" t="s">
        <v>37</v>
      </c>
      <c r="T6" s="3" t="s">
        <v>37</v>
      </c>
      <c r="U6" s="3" t="s">
        <v>37</v>
      </c>
      <c r="V6" s="10" t="s">
        <v>38</v>
      </c>
      <c r="W6" s="11" t="s">
        <v>38</v>
      </c>
      <c r="X6" s="3" t="s">
        <v>37</v>
      </c>
      <c r="Y6" s="3" t="s">
        <v>37</v>
      </c>
      <c r="Z6" s="3" t="s">
        <v>37</v>
      </c>
      <c r="AA6" s="3" t="s">
        <v>37</v>
      </c>
      <c r="AB6" s="3" t="s">
        <v>37</v>
      </c>
      <c r="AC6" s="10" t="s">
        <v>38</v>
      </c>
      <c r="AD6" s="11" t="s">
        <v>38</v>
      </c>
      <c r="AE6" s="3" t="s">
        <v>37</v>
      </c>
      <c r="AF6" s="3" t="s">
        <v>37</v>
      </c>
      <c r="AG6" s="12">
        <f>COUNTIF(C6:AF6,"早")</f>
        <v>0</v>
      </c>
      <c r="AH6" s="12">
        <f>COUNTIF(C6:AF6,"遅")</f>
        <v>0</v>
      </c>
      <c r="AI6" s="12">
        <f>COUNTIF(C6:AF6,"早")+COUNTIF(C6:AF6,"日")+COUNTIF(C6:AF6,"遅")</f>
        <v>0</v>
      </c>
    </row>
    <row r="7">
      <c r="A7" s="3">
        <v>5</v>
      </c>
      <c r="B7" s="2" t="s">
        <v>44</v>
      </c>
      <c r="C7" s="3" t="s">
        <v>37</v>
      </c>
      <c r="D7" s="3" t="s">
        <v>37</v>
      </c>
      <c r="E7" s="3" t="s">
        <v>37</v>
      </c>
      <c r="F7" s="3" t="s">
        <v>37</v>
      </c>
      <c r="G7" s="3" t="s">
        <v>37</v>
      </c>
      <c r="H7" s="10" t="s">
        <v>38</v>
      </c>
      <c r="I7" s="11" t="s">
        <v>38</v>
      </c>
      <c r="J7" s="3" t="s">
        <v>37</v>
      </c>
      <c r="K7" s="3" t="s">
        <v>37</v>
      </c>
      <c r="L7" s="3" t="s">
        <v>37</v>
      </c>
      <c r="M7" s="3" t="s">
        <v>37</v>
      </c>
      <c r="N7" s="3" t="s">
        <v>37</v>
      </c>
      <c r="O7" s="10" t="s">
        <v>38</v>
      </c>
      <c r="P7" s="11" t="s">
        <v>38</v>
      </c>
      <c r="Q7" s="3" t="s">
        <v>37</v>
      </c>
      <c r="R7" s="3" t="s">
        <v>37</v>
      </c>
      <c r="S7" s="3" t="s">
        <v>37</v>
      </c>
      <c r="T7" s="3" t="s">
        <v>37</v>
      </c>
      <c r="U7" s="3" t="s">
        <v>37</v>
      </c>
      <c r="V7" s="10" t="s">
        <v>38</v>
      </c>
      <c r="W7" s="11" t="s">
        <v>38</v>
      </c>
      <c r="X7" s="3" t="s">
        <v>37</v>
      </c>
      <c r="Y7" s="3" t="s">
        <v>37</v>
      </c>
      <c r="Z7" s="3" t="s">
        <v>37</v>
      </c>
      <c r="AA7" s="3" t="s">
        <v>37</v>
      </c>
      <c r="AB7" s="3" t="s">
        <v>37</v>
      </c>
      <c r="AC7" s="10" t="s">
        <v>38</v>
      </c>
      <c r="AD7" s="11" t="s">
        <v>38</v>
      </c>
      <c r="AE7" s="3" t="s">
        <v>37</v>
      </c>
      <c r="AF7" s="3" t="s">
        <v>37</v>
      </c>
      <c r="AG7" s="12">
        <f>COUNTIF(C7:AF7,"早")</f>
        <v>0</v>
      </c>
      <c r="AH7" s="12">
        <f>COUNTIF(C7:AF7,"遅")</f>
        <v>0</v>
      </c>
      <c r="AI7" s="12">
        <f>COUNTIF(C7:AF7,"早")+COUNTIF(C7:AF7,"日")+COUNTIF(C7:AF7,"遅")</f>
        <v>0</v>
      </c>
    </row>
    <row r="8">
      <c r="A8" s="1" t="s">
        <v>45</v>
      </c>
      <c r="B8" s="1" t="s">
        <v>46</v>
      </c>
      <c r="C8" s="1">
        <f>IF(C3="早",1,IF(C3="日",1,IF(C3="遅",1,0)))+IF(C4="早",1,IF(C4="日",1,IF(C4="遅",1,0)))+IF(C5="早",1,IF(C5="日",1,IF(C5="遅",1,0)))+IF(C6="早",1,IF(C6="日",1,IF(C6="遅",1,0)))+IF(C7="早",1,IF(C7="日",1,IF(C7="遅",1,0)))</f>
        <v>0</v>
      </c>
      <c r="D8" s="1">
        <f>IF(D3="早",1,IF(D3="日",1,IF(D3="遅",1,0)))+IF(D4="早",1,IF(D4="日",1,IF(D4="遅",1,0)))+IF(D5="早",1,IF(D5="日",1,IF(D5="遅",1,0)))+IF(D6="早",1,IF(D6="日",1,IF(D6="遅",1,0)))+IF(D7="早",1,IF(D7="日",1,IF(D7="遅",1,0)))</f>
        <v>0</v>
      </c>
      <c r="E8" s="1">
        <f>IF(E3="早",1,IF(E3="日",1,IF(E3="遅",1,0)))+IF(E4="早",1,IF(E4="日",1,IF(E4="遅",1,0)))+IF(E5="早",1,IF(E5="日",1,IF(E5="遅",1,0)))+IF(E6="早",1,IF(E6="日",1,IF(E6="遅",1,0)))+IF(E7="早",1,IF(E7="日",1,IF(E7="遅",1,0)))</f>
        <v>0</v>
      </c>
      <c r="F8" s="1">
        <f>IF(F3="早",1,IF(F3="日",1,IF(F3="遅",1,0)))+IF(F4="早",1,IF(F4="日",1,IF(F4="遅",1,0)))+IF(F5="早",1,IF(F5="日",1,IF(F5="遅",1,0)))+IF(F6="早",1,IF(F6="日",1,IF(F6="遅",1,0)))+IF(F7="早",1,IF(F7="日",1,IF(F7="遅",1,0)))</f>
        <v>0</v>
      </c>
      <c r="G8" s="1">
        <f>IF(G3="早",1,IF(G3="日",1,IF(G3="遅",1,0)))+IF(G4="早",1,IF(G4="日",1,IF(G4="遅",1,0)))+IF(G5="早",1,IF(G5="日",1,IF(G5="遅",1,0)))+IF(G6="早",1,IF(G6="日",1,IF(G6="遅",1,0)))+IF(G7="早",1,IF(G7="日",1,IF(G7="遅",1,0)))</f>
        <v>0</v>
      </c>
      <c r="H8" s="4">
        <f>IF(H3="早",1,IF(H3="日",1,IF(H3="遅",1,0)))+IF(H4="早",1,IF(H4="日",1,IF(H4="遅",1,0)))+IF(H5="早",1,IF(H5="日",1,IF(H5="遅",1,0)))+IF(H6="早",1,IF(H6="日",1,IF(H6="遅",1,0)))+IF(H7="早",1,IF(H7="日",1,IF(H7="遅",1,0)))</f>
        <v>0</v>
      </c>
      <c r="I8" s="5">
        <f>IF(I3="早",1,IF(I3="日",1,IF(I3="遅",1,0)))+IF(I4="早",1,IF(I4="日",1,IF(I4="遅",1,0)))+IF(I5="早",1,IF(I5="日",1,IF(I5="遅",1,0)))+IF(I6="早",1,IF(I6="日",1,IF(I6="遅",1,0)))+IF(I7="早",1,IF(I7="日",1,IF(I7="遅",1,0)))</f>
        <v>0</v>
      </c>
      <c r="J8" s="1">
        <f>IF(J3="早",1,IF(J3="日",1,IF(J3="遅",1,0)))+IF(J4="早",1,IF(J4="日",1,IF(J4="遅",1,0)))+IF(J5="早",1,IF(J5="日",1,IF(J5="遅",1,0)))+IF(J6="早",1,IF(J6="日",1,IF(J6="遅",1,0)))+IF(J7="早",1,IF(J7="日",1,IF(J7="遅",1,0)))</f>
        <v>0</v>
      </c>
      <c r="K8" s="1">
        <f>IF(K3="早",1,IF(K3="日",1,IF(K3="遅",1,0)))+IF(K4="早",1,IF(K4="日",1,IF(K4="遅",1,0)))+IF(K5="早",1,IF(K5="日",1,IF(K5="遅",1,0)))+IF(K6="早",1,IF(K6="日",1,IF(K6="遅",1,0)))+IF(K7="早",1,IF(K7="日",1,IF(K7="遅",1,0)))</f>
        <v>0</v>
      </c>
      <c r="L8" s="1">
        <f>IF(L3="早",1,IF(L3="日",1,IF(L3="遅",1,0)))+IF(L4="早",1,IF(L4="日",1,IF(L4="遅",1,0)))+IF(L5="早",1,IF(L5="日",1,IF(L5="遅",1,0)))+IF(L6="早",1,IF(L6="日",1,IF(L6="遅",1,0)))+IF(L7="早",1,IF(L7="日",1,IF(L7="遅",1,0)))</f>
        <v>0</v>
      </c>
      <c r="M8" s="1">
        <f>IF(M3="早",1,IF(M3="日",1,IF(M3="遅",1,0)))+IF(M4="早",1,IF(M4="日",1,IF(M4="遅",1,0)))+IF(M5="早",1,IF(M5="日",1,IF(M5="遅",1,0)))+IF(M6="早",1,IF(M6="日",1,IF(M6="遅",1,0)))+IF(M7="早",1,IF(M7="日",1,IF(M7="遅",1,0)))</f>
        <v>0</v>
      </c>
      <c r="N8" s="1">
        <f>IF(N3="早",1,IF(N3="日",1,IF(N3="遅",1,0)))+IF(N4="早",1,IF(N4="日",1,IF(N4="遅",1,0)))+IF(N5="早",1,IF(N5="日",1,IF(N5="遅",1,0)))+IF(N6="早",1,IF(N6="日",1,IF(N6="遅",1,0)))+IF(N7="早",1,IF(N7="日",1,IF(N7="遅",1,0)))</f>
        <v>0</v>
      </c>
      <c r="O8" s="4">
        <f>IF(O3="早",1,IF(O3="日",1,IF(O3="遅",1,0)))+IF(O4="早",1,IF(O4="日",1,IF(O4="遅",1,0)))+IF(O5="早",1,IF(O5="日",1,IF(O5="遅",1,0)))+IF(O6="早",1,IF(O6="日",1,IF(O6="遅",1,0)))+IF(O7="早",1,IF(O7="日",1,IF(O7="遅",1,0)))</f>
        <v>0</v>
      </c>
      <c r="P8" s="5">
        <f>IF(P3="早",1,IF(P3="日",1,IF(P3="遅",1,0)))+IF(P4="早",1,IF(P4="日",1,IF(P4="遅",1,0)))+IF(P5="早",1,IF(P5="日",1,IF(P5="遅",1,0)))+IF(P6="早",1,IF(P6="日",1,IF(P6="遅",1,0)))+IF(P7="早",1,IF(P7="日",1,IF(P7="遅",1,0)))</f>
        <v>0</v>
      </c>
      <c r="Q8" s="1">
        <f>IF(Q3="早",1,IF(Q3="日",1,IF(Q3="遅",1,0)))+IF(Q4="早",1,IF(Q4="日",1,IF(Q4="遅",1,0)))+IF(Q5="早",1,IF(Q5="日",1,IF(Q5="遅",1,0)))+IF(Q6="早",1,IF(Q6="日",1,IF(Q6="遅",1,0)))+IF(Q7="早",1,IF(Q7="日",1,IF(Q7="遅",1,0)))</f>
        <v>0</v>
      </c>
      <c r="R8" s="1">
        <f>IF(R3="早",1,IF(R3="日",1,IF(R3="遅",1,0)))+IF(R4="早",1,IF(R4="日",1,IF(R4="遅",1,0)))+IF(R5="早",1,IF(R5="日",1,IF(R5="遅",1,0)))+IF(R6="早",1,IF(R6="日",1,IF(R6="遅",1,0)))+IF(R7="早",1,IF(R7="日",1,IF(R7="遅",1,0)))</f>
        <v>0</v>
      </c>
      <c r="S8" s="1">
        <f>IF(S3="早",1,IF(S3="日",1,IF(S3="遅",1,0)))+IF(S4="早",1,IF(S4="日",1,IF(S4="遅",1,0)))+IF(S5="早",1,IF(S5="日",1,IF(S5="遅",1,0)))+IF(S6="早",1,IF(S6="日",1,IF(S6="遅",1,0)))+IF(S7="早",1,IF(S7="日",1,IF(S7="遅",1,0)))</f>
        <v>0</v>
      </c>
      <c r="T8" s="1">
        <f>IF(T3="早",1,IF(T3="日",1,IF(T3="遅",1,0)))+IF(T4="早",1,IF(T4="日",1,IF(T4="遅",1,0)))+IF(T5="早",1,IF(T5="日",1,IF(T5="遅",1,0)))+IF(T6="早",1,IF(T6="日",1,IF(T6="遅",1,0)))+IF(T7="早",1,IF(T7="日",1,IF(T7="遅",1,0)))</f>
        <v>0</v>
      </c>
      <c r="U8" s="1">
        <f>IF(U3="早",1,IF(U3="日",1,IF(U3="遅",1,0)))+IF(U4="早",1,IF(U4="日",1,IF(U4="遅",1,0)))+IF(U5="早",1,IF(U5="日",1,IF(U5="遅",1,0)))+IF(U6="早",1,IF(U6="日",1,IF(U6="遅",1,0)))+IF(U7="早",1,IF(U7="日",1,IF(U7="遅",1,0)))</f>
        <v>0</v>
      </c>
      <c r="V8" s="4">
        <f>IF(V3="早",1,IF(V3="日",1,IF(V3="遅",1,0)))+IF(V4="早",1,IF(V4="日",1,IF(V4="遅",1,0)))+IF(V5="早",1,IF(V5="日",1,IF(V5="遅",1,0)))+IF(V6="早",1,IF(V6="日",1,IF(V6="遅",1,0)))+IF(V7="早",1,IF(V7="日",1,IF(V7="遅",1,0)))</f>
        <v>0</v>
      </c>
      <c r="W8" s="5">
        <f>IF(W3="早",1,IF(W3="日",1,IF(W3="遅",1,0)))+IF(W4="早",1,IF(W4="日",1,IF(W4="遅",1,0)))+IF(W5="早",1,IF(W5="日",1,IF(W5="遅",1,0)))+IF(W6="早",1,IF(W6="日",1,IF(W6="遅",1,0)))+IF(W7="早",1,IF(W7="日",1,IF(W7="遅",1,0)))</f>
        <v>0</v>
      </c>
      <c r="X8" s="1">
        <f>IF(X3="早",1,IF(X3="日",1,IF(X3="遅",1,0)))+IF(X4="早",1,IF(X4="日",1,IF(X4="遅",1,0)))+IF(X5="早",1,IF(X5="日",1,IF(X5="遅",1,0)))+IF(X6="早",1,IF(X6="日",1,IF(X6="遅",1,0)))+IF(X7="早",1,IF(X7="日",1,IF(X7="遅",1,0)))</f>
        <v>0</v>
      </c>
      <c r="Y8" s="1">
        <f>IF(Y3="早",1,IF(Y3="日",1,IF(Y3="遅",1,0)))+IF(Y4="早",1,IF(Y4="日",1,IF(Y4="遅",1,0)))+IF(Y5="早",1,IF(Y5="日",1,IF(Y5="遅",1,0)))+IF(Y6="早",1,IF(Y6="日",1,IF(Y6="遅",1,0)))+IF(Y7="早",1,IF(Y7="日",1,IF(Y7="遅",1,0)))</f>
        <v>0</v>
      </c>
      <c r="Z8" s="1">
        <f>IF(Z3="早",1,IF(Z3="日",1,IF(Z3="遅",1,0)))+IF(Z4="早",1,IF(Z4="日",1,IF(Z4="遅",1,0)))+IF(Z5="早",1,IF(Z5="日",1,IF(Z5="遅",1,0)))+IF(Z6="早",1,IF(Z6="日",1,IF(Z6="遅",1,0)))+IF(Z7="早",1,IF(Z7="日",1,IF(Z7="遅",1,0)))</f>
        <v>0</v>
      </c>
      <c r="AA8" s="1">
        <f>IF(AA3="早",1,IF(AA3="日",1,IF(AA3="遅",1,0)))+IF(AA4="早",1,IF(AA4="日",1,IF(AA4="遅",1,0)))+IF(AA5="早",1,IF(AA5="日",1,IF(AA5="遅",1,0)))+IF(AA6="早",1,IF(AA6="日",1,IF(AA6="遅",1,0)))+IF(AA7="早",1,IF(AA7="日",1,IF(AA7="遅",1,0)))</f>
        <v>0</v>
      </c>
      <c r="AB8" s="1">
        <f>IF(AB3="早",1,IF(AB3="日",1,IF(AB3="遅",1,0)))+IF(AB4="早",1,IF(AB4="日",1,IF(AB4="遅",1,0)))+IF(AB5="早",1,IF(AB5="日",1,IF(AB5="遅",1,0)))+IF(AB6="早",1,IF(AB6="日",1,IF(AB6="遅",1,0)))+IF(AB7="早",1,IF(AB7="日",1,IF(AB7="遅",1,0)))</f>
        <v>0</v>
      </c>
      <c r="AC8" s="4">
        <f>IF(AC3="早",1,IF(AC3="日",1,IF(AC3="遅",1,0)))+IF(AC4="早",1,IF(AC4="日",1,IF(AC4="遅",1,0)))+IF(AC5="早",1,IF(AC5="日",1,IF(AC5="遅",1,0)))+IF(AC6="早",1,IF(AC6="日",1,IF(AC6="遅",1,0)))+IF(AC7="早",1,IF(AC7="日",1,IF(AC7="遅",1,0)))</f>
        <v>0</v>
      </c>
      <c r="AD8" s="5">
        <f>IF(AD3="早",1,IF(AD3="日",1,IF(AD3="遅",1,0)))+IF(AD4="早",1,IF(AD4="日",1,IF(AD4="遅",1,0)))+IF(AD5="早",1,IF(AD5="日",1,IF(AD5="遅",1,0)))+IF(AD6="早",1,IF(AD6="日",1,IF(AD6="遅",1,0)))+IF(AD7="早",1,IF(AD7="日",1,IF(AD7="遅",1,0)))</f>
        <v>0</v>
      </c>
      <c r="AE8" s="1">
        <f>IF(AE3="早",1,IF(AE3="日",1,IF(AE3="遅",1,0)))+IF(AE4="早",1,IF(AE4="日",1,IF(AE4="遅",1,0)))+IF(AE5="早",1,IF(AE5="日",1,IF(AE5="遅",1,0)))+IF(AE6="早",1,IF(AE6="日",1,IF(AE6="遅",1,0)))+IF(AE7="早",1,IF(AE7="日",1,IF(AE7="遅",1,0)))</f>
        <v>0</v>
      </c>
      <c r="AF8" s="1">
        <f>IF(AF3="早",1,IF(AF3="日",1,IF(AF3="遅",1,0)))+IF(AF4="早",1,IF(AF4="日",1,IF(AF4="遅",1,0)))+IF(AF5="早",1,IF(AF5="日",1,IF(AF5="遅",1,0)))+IF(AF6="早",1,IF(AF6="日",1,IF(AF6="遅",1,0)))+IF(AF7="早",1,IF(AF7="日",1,IF(AF7="遅",1,0)))</f>
        <v>0</v>
      </c>
    </row>
  </sheetData>
  <mergeCells count="1">
    <mergeCell ref="A1:AI1"/>
  </mergeCells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0" customWidth="1"/>
    <col min="2" max="2" width="6" customWidth="1"/>
    <col min="3" max="6" width="12" customWidth="1"/>
    <col min="7" max="7" width="20" customWidth="1"/>
  </cols>
  <sheetData>
    <row r="1" ht="28" customHeight="1">
      <c r="A1" s="13" t="s">
        <v>47</v>
      </c>
    </row>
    <row r="2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</row>
    <row r="3">
      <c r="A3" s="1" t="s">
        <v>55</v>
      </c>
      <c r="B3" s="1" t="s">
        <v>56</v>
      </c>
      <c r="C3" s="3">
        <f>シフト表!M8</f>
        <v>0</v>
      </c>
      <c r="D3" s="3">
        <f>IF(シフト表!M3="早",1,0)+IF(シフト表!M4="早",1,0)+IF(シフト表!M5="早",1,0)+IF(シフト表!M6="早",1,0)+IF(シフト表!M7="早",1,0)</f>
        <v>0</v>
      </c>
      <c r="E3" s="3">
        <f>IF(シフト表!M3="日",1,0)+IF(シフト表!M4="日",1,0)+IF(シフト表!M5="日",1,0)+IF(シフト表!M6="日",1,0)+IF(シフト表!M7="日",1,0)</f>
        <v>0</v>
      </c>
      <c r="F3" s="3">
        <f>IF(シフト表!M3="遅",1,0)+IF(シフト表!M4="遅",1,0)+IF(シフト表!M5="遅",1,0)+IF(シフト表!M6="遅",1,0)+IF(シフト表!M7="遅",1,0)</f>
        <v>0</v>
      </c>
      <c r="G3" s="14" t="s">
        <v>45</v>
      </c>
    </row>
    <row r="4">
      <c r="A4" s="1" t="s">
        <v>57</v>
      </c>
      <c r="B4" s="1" t="s">
        <v>58</v>
      </c>
      <c r="C4" s="3">
        <f>シフト表!N8</f>
        <v>0</v>
      </c>
      <c r="D4" s="3">
        <f>IF(シフト表!N3="早",1,0)+IF(シフト表!N4="早",1,0)+IF(シフト表!N5="早",1,0)+IF(シフト表!N6="早",1,0)+IF(シフト表!N7="早",1,0)</f>
        <v>0</v>
      </c>
      <c r="E4" s="3">
        <f>IF(シフト表!N3="日",1,0)+IF(シフト表!N4="日",1,0)+IF(シフト表!N5="日",1,0)+IF(シフト表!N6="日",1,0)+IF(シフト表!N7="日",1,0)</f>
        <v>0</v>
      </c>
      <c r="F4" s="3">
        <f>IF(シフト表!N3="遅",1,0)+IF(シフト表!N4="遅",1,0)+IF(シフト表!N5="遅",1,0)+IF(シフト表!N6="遅",1,0)+IF(シフト表!N7="遅",1,0)</f>
        <v>0</v>
      </c>
      <c r="G4" s="14" t="s">
        <v>45</v>
      </c>
    </row>
    <row r="5">
      <c r="A5" s="4" t="s">
        <v>59</v>
      </c>
      <c r="B5" s="4" t="s">
        <v>60</v>
      </c>
      <c r="C5" s="10">
        <f>シフト表!O8</f>
        <v>0</v>
      </c>
      <c r="D5" s="10">
        <f>IF(シフト表!O3="早",1,0)+IF(シフト表!O4="早",1,0)+IF(シフト表!O5="早",1,0)+IF(シフト表!O6="早",1,0)+IF(シフト表!O7="早",1,0)</f>
        <v>0</v>
      </c>
      <c r="E5" s="10">
        <f>IF(シフト表!O3="日",1,0)+IF(シフト表!O4="日",1,0)+IF(シフト表!O5="日",1,0)+IF(シフト表!O6="日",1,0)+IF(シフト表!O7="日",1,0)</f>
        <v>0</v>
      </c>
      <c r="F5" s="10">
        <f>IF(シフト表!O3="遅",1,0)+IF(シフト表!O4="遅",1,0)+IF(シフト表!O5="遅",1,0)+IF(シフト表!O6="遅",1,0)+IF(シフト表!O7="遅",1,0)</f>
        <v>0</v>
      </c>
      <c r="G5" s="14" t="s">
        <v>45</v>
      </c>
    </row>
    <row r="6">
      <c r="A6" s="5" t="s">
        <v>61</v>
      </c>
      <c r="B6" s="5" t="s">
        <v>37</v>
      </c>
      <c r="C6" s="11">
        <f>シフト表!P8</f>
        <v>0</v>
      </c>
      <c r="D6" s="11">
        <f>IF(シフト表!P3="早",1,0)+IF(シフト表!P4="早",1,0)+IF(シフト表!P5="早",1,0)+IF(シフト表!P6="早",1,0)+IF(シフト表!P7="早",1,0)</f>
        <v>0</v>
      </c>
      <c r="E6" s="11">
        <f>IF(シフト表!P3="日",1,0)+IF(シフト表!P4="日",1,0)+IF(シフト表!P5="日",1,0)+IF(シフト表!P6="日",1,0)+IF(シフト表!P7="日",1,0)</f>
        <v>0</v>
      </c>
      <c r="F6" s="11">
        <f>IF(シフト表!P3="遅",1,0)+IF(シフト表!P4="遅",1,0)+IF(シフト表!P5="遅",1,0)+IF(シフト表!P6="遅",1,0)+IF(シフト表!P7="遅",1,0)</f>
        <v>0</v>
      </c>
      <c r="G6" s="14" t="s">
        <v>45</v>
      </c>
    </row>
    <row r="7">
      <c r="A7" s="1" t="s">
        <v>62</v>
      </c>
      <c r="B7" s="1" t="s">
        <v>63</v>
      </c>
      <c r="C7" s="3">
        <f>シフト表!Q8</f>
        <v>0</v>
      </c>
      <c r="D7" s="3">
        <f>IF(シフト表!Q3="早",1,0)+IF(シフト表!Q4="早",1,0)+IF(シフト表!Q5="早",1,0)+IF(シフト表!Q6="早",1,0)+IF(シフト表!Q7="早",1,0)</f>
        <v>0</v>
      </c>
      <c r="E7" s="3">
        <f>IF(シフト表!Q3="日",1,0)+IF(シフト表!Q4="日",1,0)+IF(シフト表!Q5="日",1,0)+IF(シフト表!Q6="日",1,0)+IF(シフト表!Q7="日",1,0)</f>
        <v>0</v>
      </c>
      <c r="F7" s="3">
        <f>IF(シフト表!Q3="遅",1,0)+IF(シフト表!Q4="遅",1,0)+IF(シフト表!Q5="遅",1,0)+IF(シフト表!Q6="遅",1,0)+IF(シフト表!Q7="遅",1,0)</f>
        <v>0</v>
      </c>
      <c r="G7" s="14" t="s">
        <v>45</v>
      </c>
    </row>
    <row r="8">
      <c r="A8" s="1" t="s">
        <v>64</v>
      </c>
      <c r="B8" s="1" t="s">
        <v>65</v>
      </c>
      <c r="C8" s="3">
        <f>シフト表!R8</f>
        <v>0</v>
      </c>
      <c r="D8" s="3">
        <f>IF(シフト表!R3="早",1,0)+IF(シフト表!R4="早",1,0)+IF(シフト表!R5="早",1,0)+IF(シフト表!R6="早",1,0)+IF(シフト表!R7="早",1,0)</f>
        <v>0</v>
      </c>
      <c r="E8" s="3">
        <f>IF(シフト表!R3="日",1,0)+IF(シフト表!R4="日",1,0)+IF(シフト表!R5="日",1,0)+IF(シフト表!R6="日",1,0)+IF(シフト表!R7="日",1,0)</f>
        <v>0</v>
      </c>
      <c r="F8" s="3">
        <f>IF(シフト表!R3="遅",1,0)+IF(シフト表!R4="遅",1,0)+IF(シフト表!R5="遅",1,0)+IF(シフト表!R6="遅",1,0)+IF(シフト表!R7="遅",1,0)</f>
        <v>0</v>
      </c>
      <c r="G8" s="14" t="s">
        <v>45</v>
      </c>
    </row>
    <row r="9">
      <c r="A9" s="1" t="s">
        <v>66</v>
      </c>
      <c r="B9" s="1" t="s">
        <v>67</v>
      </c>
      <c r="C9" s="3">
        <f>シフト表!S8</f>
        <v>0</v>
      </c>
      <c r="D9" s="3">
        <f>IF(シフト表!S3="早",1,0)+IF(シフト表!S4="早",1,0)+IF(シフト表!S5="早",1,0)+IF(シフト表!S6="早",1,0)+IF(シフト表!S7="早",1,0)</f>
        <v>0</v>
      </c>
      <c r="E9" s="3">
        <f>IF(シフト表!S3="日",1,0)+IF(シフト表!S4="日",1,0)+IF(シフト表!S5="日",1,0)+IF(シフト表!S6="日",1,0)+IF(シフト表!S7="日",1,0)</f>
        <v>0</v>
      </c>
      <c r="F9" s="3">
        <f>IF(シフト表!S3="遅",1,0)+IF(シフト表!S4="遅",1,0)+IF(シフト表!S5="遅",1,0)+IF(シフト表!S6="遅",1,0)+IF(シフト表!S7="遅",1,0)</f>
        <v>0</v>
      </c>
      <c r="G9" s="14" t="s">
        <v>45</v>
      </c>
    </row>
    <row r="10">
      <c r="A10" s="1" t="s">
        <v>68</v>
      </c>
      <c r="B10" s="1" t="s">
        <v>56</v>
      </c>
      <c r="C10" s="3">
        <f>シフト表!T8</f>
        <v>0</v>
      </c>
      <c r="D10" s="3">
        <f>IF(シフト表!T3="早",1,0)+IF(シフト表!T4="早",1,0)+IF(シフト表!T5="早",1,0)+IF(シフト表!T6="早",1,0)+IF(シフト表!T7="早",1,0)</f>
        <v>0</v>
      </c>
      <c r="E10" s="3">
        <f>IF(シフト表!T3="日",1,0)+IF(シフト表!T4="日",1,0)+IF(シフト表!T5="日",1,0)+IF(シフト表!T6="日",1,0)+IF(シフト表!T7="日",1,0)</f>
        <v>0</v>
      </c>
      <c r="F10" s="3">
        <f>IF(シフト表!T3="遅",1,0)+IF(シフト表!T4="遅",1,0)+IF(シフト表!T5="遅",1,0)+IF(シフト表!T6="遅",1,0)+IF(シフト表!T7="遅",1,0)</f>
        <v>0</v>
      </c>
      <c r="G10" s="14" t="s">
        <v>45</v>
      </c>
    </row>
    <row r="11">
      <c r="A11" s="1" t="s">
        <v>69</v>
      </c>
      <c r="B11" s="1" t="s">
        <v>58</v>
      </c>
      <c r="C11" s="3">
        <f>シフト表!U8</f>
        <v>0</v>
      </c>
      <c r="D11" s="3">
        <f>IF(シフト表!U3="早",1,0)+IF(シフト表!U4="早",1,0)+IF(シフト表!U5="早",1,0)+IF(シフト表!U6="早",1,0)+IF(シフト表!U7="早",1,0)</f>
        <v>0</v>
      </c>
      <c r="E11" s="3">
        <f>IF(シフト表!U3="日",1,0)+IF(シフト表!U4="日",1,0)+IF(シフト表!U5="日",1,0)+IF(シフト表!U6="日",1,0)+IF(シフト表!U7="日",1,0)</f>
        <v>0</v>
      </c>
      <c r="F11" s="3">
        <f>IF(シフト表!U3="遅",1,0)+IF(シフト表!U4="遅",1,0)+IF(シフト表!U5="遅",1,0)+IF(シフト表!U6="遅",1,0)+IF(シフト表!U7="遅",1,0)</f>
        <v>0</v>
      </c>
      <c r="G11" s="14" t="s">
        <v>45</v>
      </c>
    </row>
    <row r="12">
      <c r="A12" s="4" t="s">
        <v>70</v>
      </c>
      <c r="B12" s="4" t="s">
        <v>60</v>
      </c>
      <c r="C12" s="10">
        <f>シフト表!V8</f>
        <v>0</v>
      </c>
      <c r="D12" s="10">
        <f>IF(シフト表!V3="早",1,0)+IF(シフト表!V4="早",1,0)+IF(シフト表!V5="早",1,0)+IF(シフト表!V6="早",1,0)+IF(シフト表!V7="早",1,0)</f>
        <v>0</v>
      </c>
      <c r="E12" s="10">
        <f>IF(シフト表!V3="日",1,0)+IF(シフト表!V4="日",1,0)+IF(シフト表!V5="日",1,0)+IF(シフト表!V6="日",1,0)+IF(シフト表!V7="日",1,0)</f>
        <v>0</v>
      </c>
      <c r="F12" s="10">
        <f>IF(シフト表!V3="遅",1,0)+IF(シフト表!V4="遅",1,0)+IF(シフト表!V5="遅",1,0)+IF(シフト表!V6="遅",1,0)+IF(シフト表!V7="遅",1,0)</f>
        <v>0</v>
      </c>
      <c r="G12" s="14" t="s">
        <v>45</v>
      </c>
    </row>
    <row r="13">
      <c r="A13" s="5" t="s">
        <v>71</v>
      </c>
      <c r="B13" s="5" t="s">
        <v>37</v>
      </c>
      <c r="C13" s="11">
        <f>シフト表!W8</f>
        <v>0</v>
      </c>
      <c r="D13" s="11">
        <f>IF(シフト表!W3="早",1,0)+IF(シフト表!W4="早",1,0)+IF(シフト表!W5="早",1,0)+IF(シフト表!W6="早",1,0)+IF(シフト表!W7="早",1,0)</f>
        <v>0</v>
      </c>
      <c r="E13" s="11">
        <f>IF(シフト表!W3="日",1,0)+IF(シフト表!W4="日",1,0)+IF(シフト表!W5="日",1,0)+IF(シフト表!W6="日",1,0)+IF(シフト表!W7="日",1,0)</f>
        <v>0</v>
      </c>
      <c r="F13" s="11">
        <f>IF(シフト表!W3="遅",1,0)+IF(シフト表!W4="遅",1,0)+IF(シフト表!W5="遅",1,0)+IF(シフト表!W6="遅",1,0)+IF(シフト表!W7="遅",1,0)</f>
        <v>0</v>
      </c>
      <c r="G13" s="14" t="s">
        <v>45</v>
      </c>
    </row>
    <row r="14">
      <c r="A14" s="1" t="s">
        <v>72</v>
      </c>
      <c r="B14" s="1" t="s">
        <v>63</v>
      </c>
      <c r="C14" s="3">
        <f>シフト表!X8</f>
        <v>0</v>
      </c>
      <c r="D14" s="3">
        <f>IF(シフト表!X3="早",1,0)+IF(シフト表!X4="早",1,0)+IF(シフト表!X5="早",1,0)+IF(シフト表!X6="早",1,0)+IF(シフト表!X7="早",1,0)</f>
        <v>0</v>
      </c>
      <c r="E14" s="3">
        <f>IF(シフト表!X3="日",1,0)+IF(シフト表!X4="日",1,0)+IF(シフト表!X5="日",1,0)+IF(シフト表!X6="日",1,0)+IF(シフト表!X7="日",1,0)</f>
        <v>0</v>
      </c>
      <c r="F14" s="3">
        <f>IF(シフト表!X3="遅",1,0)+IF(シフト表!X4="遅",1,0)+IF(シフト表!X5="遅",1,0)+IF(シフト表!X6="遅",1,0)+IF(シフト表!X7="遅",1,0)</f>
        <v>0</v>
      </c>
      <c r="G14" s="14" t="s">
        <v>45</v>
      </c>
    </row>
    <row r="15">
      <c r="A15" s="1" t="s">
        <v>73</v>
      </c>
      <c r="B15" s="1" t="s">
        <v>65</v>
      </c>
      <c r="C15" s="3">
        <f>シフト表!Y8</f>
        <v>0</v>
      </c>
      <c r="D15" s="3">
        <f>IF(シフト表!Y3="早",1,0)+IF(シフト表!Y4="早",1,0)+IF(シフト表!Y5="早",1,0)+IF(シフト表!Y6="早",1,0)+IF(シフト表!Y7="早",1,0)</f>
        <v>0</v>
      </c>
      <c r="E15" s="3">
        <f>IF(シフト表!Y3="日",1,0)+IF(シフト表!Y4="日",1,0)+IF(シフト表!Y5="日",1,0)+IF(シフト表!Y6="日",1,0)+IF(シフト表!Y7="日",1,0)</f>
        <v>0</v>
      </c>
      <c r="F15" s="3">
        <f>IF(シフト表!Y3="遅",1,0)+IF(シフト表!Y4="遅",1,0)+IF(シフト表!Y5="遅",1,0)+IF(シフト表!Y6="遅",1,0)+IF(シフト表!Y7="遅",1,0)</f>
        <v>0</v>
      </c>
      <c r="G15" s="14" t="s">
        <v>45</v>
      </c>
    </row>
    <row r="16">
      <c r="A16" s="1" t="s">
        <v>74</v>
      </c>
      <c r="B16" s="1" t="s">
        <v>67</v>
      </c>
      <c r="C16" s="3">
        <f>シフト表!Z8</f>
        <v>0</v>
      </c>
      <c r="D16" s="3">
        <f>IF(シフト表!Z3="早",1,0)+IF(シフト表!Z4="早",1,0)+IF(シフト表!Z5="早",1,0)+IF(シフト表!Z6="早",1,0)+IF(シフト表!Z7="早",1,0)</f>
        <v>0</v>
      </c>
      <c r="E16" s="3">
        <f>IF(シフト表!Z3="日",1,0)+IF(シフト表!Z4="日",1,0)+IF(シフト表!Z5="日",1,0)+IF(シフト表!Z6="日",1,0)+IF(シフト表!Z7="日",1,0)</f>
        <v>0</v>
      </c>
      <c r="F16" s="3">
        <f>IF(シフト表!Z3="遅",1,0)+IF(シフト表!Z4="遅",1,0)+IF(シフト表!Z5="遅",1,0)+IF(シフト表!Z6="遅",1,0)+IF(シフト表!Z7="遅",1,0)</f>
        <v>0</v>
      </c>
      <c r="G16" s="14" t="s">
        <v>45</v>
      </c>
    </row>
    <row r="17">
      <c r="A17" s="1" t="s">
        <v>75</v>
      </c>
      <c r="B17" s="1" t="s">
        <v>56</v>
      </c>
      <c r="C17" s="3">
        <f>シフト表!AA8</f>
        <v>0</v>
      </c>
      <c r="D17" s="3">
        <f>IF(シフト表!AA3="早",1,0)+IF(シフト表!AA4="早",1,0)+IF(シフト表!AA5="早",1,0)+IF(シフト表!AA6="早",1,0)+IF(シフト表!AA7="早",1,0)</f>
        <v>0</v>
      </c>
      <c r="E17" s="3">
        <f>IF(シフト表!AA3="日",1,0)+IF(シフト表!AA4="日",1,0)+IF(シフト表!AA5="日",1,0)+IF(シフト表!AA6="日",1,0)+IF(シフト表!AA7="日",1,0)</f>
        <v>0</v>
      </c>
      <c r="F17" s="3">
        <f>IF(シフト表!AA3="遅",1,0)+IF(シフト表!AA4="遅",1,0)+IF(シフト表!AA5="遅",1,0)+IF(シフト表!AA6="遅",1,0)+IF(シフト表!AA7="遅",1,0)</f>
        <v>0</v>
      </c>
      <c r="G17" s="14" t="s">
        <v>45</v>
      </c>
    </row>
    <row r="18">
      <c r="A18" s="1" t="s">
        <v>76</v>
      </c>
      <c r="B18" s="1" t="s">
        <v>58</v>
      </c>
      <c r="C18" s="3">
        <f>シフト表!AB8</f>
        <v>0</v>
      </c>
      <c r="D18" s="3">
        <f>IF(シフト表!AB3="早",1,0)+IF(シフト表!AB4="早",1,0)+IF(シフト表!AB5="早",1,0)+IF(シフト表!AB6="早",1,0)+IF(シフト表!AB7="早",1,0)</f>
        <v>0</v>
      </c>
      <c r="E18" s="3">
        <f>IF(シフト表!AB3="日",1,0)+IF(シフト表!AB4="日",1,0)+IF(シフト表!AB5="日",1,0)+IF(シフト表!AB6="日",1,0)+IF(シフト表!AB7="日",1,0)</f>
        <v>0</v>
      </c>
      <c r="F18" s="3">
        <f>IF(シフト表!AB3="遅",1,0)+IF(シフト表!AB4="遅",1,0)+IF(シフト表!AB5="遅",1,0)+IF(シフト表!AB6="遅",1,0)+IF(シフト表!AB7="遅",1,0)</f>
        <v>0</v>
      </c>
      <c r="G18" s="14" t="s">
        <v>45</v>
      </c>
    </row>
    <row r="19">
      <c r="A19" s="4" t="s">
        <v>77</v>
      </c>
      <c r="B19" s="4" t="s">
        <v>60</v>
      </c>
      <c r="C19" s="10">
        <f>シフト表!AC8</f>
        <v>0</v>
      </c>
      <c r="D19" s="10">
        <f>IF(シフト表!AC3="早",1,0)+IF(シフト表!AC4="早",1,0)+IF(シフト表!AC5="早",1,0)+IF(シフト表!AC6="早",1,0)+IF(シフト表!AC7="早",1,0)</f>
        <v>0</v>
      </c>
      <c r="E19" s="10">
        <f>IF(シフト表!AC3="日",1,0)+IF(シフト表!AC4="日",1,0)+IF(シフト表!AC5="日",1,0)+IF(シフト表!AC6="日",1,0)+IF(シフト表!AC7="日",1,0)</f>
        <v>0</v>
      </c>
      <c r="F19" s="10">
        <f>IF(シフト表!AC3="遅",1,0)+IF(シフト表!AC4="遅",1,0)+IF(シフト表!AC5="遅",1,0)+IF(シフト表!AC6="遅",1,0)+IF(シフト表!AC7="遅",1,0)</f>
        <v>0</v>
      </c>
      <c r="G19" s="14" t="s">
        <v>45</v>
      </c>
    </row>
    <row r="20">
      <c r="A20" s="5" t="s">
        <v>78</v>
      </c>
      <c r="B20" s="5" t="s">
        <v>37</v>
      </c>
      <c r="C20" s="11">
        <f>シフト表!AD8</f>
        <v>0</v>
      </c>
      <c r="D20" s="11">
        <f>IF(シフト表!AD3="早",1,0)+IF(シフト表!AD4="早",1,0)+IF(シフト表!AD5="早",1,0)+IF(シフト表!AD6="早",1,0)+IF(シフト表!AD7="早",1,0)</f>
        <v>0</v>
      </c>
      <c r="E20" s="11">
        <f>IF(シフト表!AD3="日",1,0)+IF(シフト表!AD4="日",1,0)+IF(シフト表!AD5="日",1,0)+IF(シフト表!AD6="日",1,0)+IF(シフト表!AD7="日",1,0)</f>
        <v>0</v>
      </c>
      <c r="F20" s="11">
        <f>IF(シフト表!AD3="遅",1,0)+IF(シフト表!AD4="遅",1,0)+IF(シフト表!AD5="遅",1,0)+IF(シフト表!AD6="遅",1,0)+IF(シフト表!AD7="遅",1,0)</f>
        <v>0</v>
      </c>
      <c r="G20" s="14" t="s">
        <v>45</v>
      </c>
    </row>
    <row r="21">
      <c r="A21" s="1" t="s">
        <v>79</v>
      </c>
      <c r="B21" s="1" t="s">
        <v>63</v>
      </c>
      <c r="C21" s="3">
        <f>シフト表!AE8</f>
        <v>0</v>
      </c>
      <c r="D21" s="3">
        <f>IF(シフト表!AE3="早",1,0)+IF(シフト表!AE4="早",1,0)+IF(シフト表!AE5="早",1,0)+IF(シフト表!AE6="早",1,0)+IF(シフト表!AE7="早",1,0)</f>
        <v>0</v>
      </c>
      <c r="E21" s="3">
        <f>IF(シフト表!AE3="日",1,0)+IF(シフト表!AE4="日",1,0)+IF(シフト表!AE5="日",1,0)+IF(シフト表!AE6="日",1,0)+IF(シフト表!AE7="日",1,0)</f>
        <v>0</v>
      </c>
      <c r="F21" s="3">
        <f>IF(シフト表!AE3="遅",1,0)+IF(シフト表!AE4="遅",1,0)+IF(シフト表!AE5="遅",1,0)+IF(シフト表!AE6="遅",1,0)+IF(シフト表!AE7="遅",1,0)</f>
        <v>0</v>
      </c>
      <c r="G21" s="14" t="s">
        <v>45</v>
      </c>
    </row>
    <row r="22">
      <c r="A22" s="1" t="s">
        <v>80</v>
      </c>
      <c r="B22" s="1" t="s">
        <v>65</v>
      </c>
      <c r="C22" s="3">
        <f>シフト表!AF8</f>
        <v>0</v>
      </c>
      <c r="D22" s="3">
        <f>IF(シフト表!AF3="早",1,0)+IF(シフト表!AF4="早",1,0)+IF(シフト表!AF5="早",1,0)+IF(シフト表!AF6="早",1,0)+IF(シフト表!AF7="早",1,0)</f>
        <v>0</v>
      </c>
      <c r="E22" s="3">
        <f>IF(シフト表!AF3="日",1,0)+IF(シフト表!AF4="日",1,0)+IF(シフト表!AF5="日",1,0)+IF(シフト表!AF6="日",1,0)+IF(シフト表!AF7="日",1,0)</f>
        <v>0</v>
      </c>
      <c r="F22" s="3">
        <f>IF(シフト表!AF3="遅",1,0)+IF(シフト表!AF4="遅",1,0)+IF(シフト表!AF5="遅",1,0)+IF(シフト表!AF6="遅",1,0)+IF(シフト表!AF7="遅",1,0)</f>
        <v>0</v>
      </c>
      <c r="G22" s="14" t="s">
        <v>45</v>
      </c>
    </row>
    <row r="23">
      <c r="A23" s="1" t="s">
        <v>81</v>
      </c>
      <c r="B23" s="1" t="s">
        <v>67</v>
      </c>
      <c r="C23" s="3">
        <v/>
      </c>
      <c r="D23" s="3">
        <v/>
      </c>
      <c r="E23" s="3">
        <v/>
      </c>
      <c r="F23" s="3">
        <v/>
      </c>
      <c r="G23" s="14" t="s">
        <v>45</v>
      </c>
    </row>
    <row r="24">
      <c r="A24" s="1" t="s">
        <v>82</v>
      </c>
      <c r="B24" s="1" t="s">
        <v>56</v>
      </c>
      <c r="C24" s="3">
        <v/>
      </c>
      <c r="D24" s="3">
        <v/>
      </c>
      <c r="E24" s="3">
        <v/>
      </c>
      <c r="F24" s="3">
        <v/>
      </c>
      <c r="G24" s="14" t="s">
        <v>45</v>
      </c>
    </row>
    <row r="25">
      <c r="A25" s="1" t="s">
        <v>83</v>
      </c>
      <c r="B25" s="1" t="s">
        <v>58</v>
      </c>
      <c r="C25" s="3">
        <v/>
      </c>
      <c r="D25" s="3">
        <v/>
      </c>
      <c r="E25" s="3">
        <v/>
      </c>
      <c r="F25" s="3">
        <v/>
      </c>
      <c r="G25" s="14" t="s">
        <v>45</v>
      </c>
    </row>
    <row r="26">
      <c r="A26" s="4" t="s">
        <v>84</v>
      </c>
      <c r="B26" s="4" t="s">
        <v>60</v>
      </c>
      <c r="C26" s="10">
        <v/>
      </c>
      <c r="D26" s="10">
        <v/>
      </c>
      <c r="E26" s="10">
        <v/>
      </c>
      <c r="F26" s="10">
        <v/>
      </c>
      <c r="G26" s="14" t="s">
        <v>45</v>
      </c>
    </row>
    <row r="27">
      <c r="A27" s="5" t="s">
        <v>85</v>
      </c>
      <c r="B27" s="5" t="s">
        <v>37</v>
      </c>
      <c r="C27" s="11">
        <v/>
      </c>
      <c r="D27" s="11">
        <v/>
      </c>
      <c r="E27" s="11">
        <v/>
      </c>
      <c r="F27" s="11">
        <v/>
      </c>
      <c r="G27" s="14" t="s">
        <v>45</v>
      </c>
    </row>
    <row r="28">
      <c r="A28" s="1" t="s">
        <v>86</v>
      </c>
      <c r="B28" s="1" t="s">
        <v>63</v>
      </c>
      <c r="C28" s="3">
        <v/>
      </c>
      <c r="D28" s="3">
        <v/>
      </c>
      <c r="E28" s="3">
        <v/>
      </c>
      <c r="F28" s="3">
        <v/>
      </c>
      <c r="G28" s="14" t="s">
        <v>45</v>
      </c>
    </row>
    <row r="29">
      <c r="A29" s="1" t="s">
        <v>87</v>
      </c>
      <c r="B29" s="1" t="s">
        <v>65</v>
      </c>
      <c r="C29" s="3">
        <v/>
      </c>
      <c r="D29" s="3">
        <v/>
      </c>
      <c r="E29" s="3">
        <v/>
      </c>
      <c r="F29" s="3">
        <v/>
      </c>
      <c r="G29" s="14" t="s">
        <v>45</v>
      </c>
    </row>
    <row r="30">
      <c r="A30" s="1" t="s">
        <v>88</v>
      </c>
      <c r="B30" s="1" t="s">
        <v>67</v>
      </c>
      <c r="C30" s="3">
        <v/>
      </c>
      <c r="D30" s="3">
        <v/>
      </c>
      <c r="E30" s="3">
        <v/>
      </c>
      <c r="F30" s="3">
        <v/>
      </c>
      <c r="G30" s="14" t="s">
        <v>45</v>
      </c>
    </row>
    <row r="31">
      <c r="A31" s="1" t="s">
        <v>89</v>
      </c>
      <c r="B31" s="1" t="s">
        <v>56</v>
      </c>
      <c r="C31" s="3">
        <v/>
      </c>
      <c r="D31" s="3">
        <v/>
      </c>
      <c r="E31" s="3">
        <v/>
      </c>
      <c r="F31" s="3">
        <v/>
      </c>
      <c r="G31" s="14" t="s">
        <v>45</v>
      </c>
    </row>
    <row r="32">
      <c r="A32" s="1" t="s">
        <v>90</v>
      </c>
      <c r="B32" s="1" t="s">
        <v>58</v>
      </c>
      <c r="C32" s="3">
        <v/>
      </c>
      <c r="D32" s="3">
        <v/>
      </c>
      <c r="E32" s="3">
        <v/>
      </c>
      <c r="F32" s="3">
        <v/>
      </c>
      <c r="G32" s="14" t="s">
        <v>45</v>
      </c>
    </row>
  </sheetData>
  <mergeCells count="1">
    <mergeCell ref="A1:G1"/>
  </mergeCells>
  <drawing r:id="rId1"/>
</worksheet>
</file>